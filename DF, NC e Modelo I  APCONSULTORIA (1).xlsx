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Consultoria\Downloads\"/>
    </mc:Choice>
  </mc:AlternateContent>
  <bookViews>
    <workbookView xWindow="120" yWindow="120" windowWidth="12120" windowHeight="8835" tabRatio="902" activeTab="4"/>
  </bookViews>
  <sheets>
    <sheet name="Parâmetros" sheetId="41" r:id="rId1"/>
    <sheet name="Balanço" sheetId="1" r:id="rId2"/>
    <sheet name="Demonstração de Resultados" sheetId="4" r:id="rId3"/>
    <sheet name="4 - Imobilização Corpórea" sheetId="51" r:id="rId4"/>
    <sheet name="5 - Imobilizado Incorpóreo" sheetId="52" r:id="rId5"/>
    <sheet name="6 - Invest. Subs. e Associadas" sheetId="53" r:id="rId6"/>
    <sheet name="7 - Outros Activos Financeiros" sheetId="54" r:id="rId7"/>
    <sheet name="8 - Existências" sheetId="55" r:id="rId8"/>
    <sheet name="9 - Out. Act não C. e C. a Rec." sheetId="56" r:id="rId9"/>
    <sheet name="10 - Disponibilidades" sheetId="57" r:id="rId10"/>
    <sheet name="11 - Outros Activos Correntes" sheetId="58" r:id="rId11"/>
    <sheet name="12 - Capital" sheetId="59" r:id="rId12"/>
    <sheet name="13 - Reservas" sheetId="60" r:id="rId13"/>
    <sheet name="14 - Resultados Transitados" sheetId="61" r:id="rId14"/>
    <sheet name="15 - Emp. Corr. não Corr." sheetId="62" r:id="rId15"/>
    <sheet name="17 - Provisões para Pensões" sheetId="63" r:id="rId16"/>
    <sheet name="18 - Prov. Out. Riscos e Enc." sheetId="64" r:id="rId17"/>
    <sheet name="19 -Outros Act. não C. e C. P." sheetId="65" r:id="rId18"/>
    <sheet name="20 - Empréstimos de Curto Prazo" sheetId="66" r:id="rId19"/>
    <sheet name="21 - Outros Passivos Correntes" sheetId="67" r:id="rId20"/>
    <sheet name="22 - Vendas" sheetId="68" r:id="rId21"/>
    <sheet name="23 - Prestação de Serviço" sheetId="69" r:id="rId22"/>
    <sheet name="24 - Outros Proveitos Op." sheetId="70" r:id="rId23"/>
    <sheet name="25 - Var. nos Prod. Ac. Vias F." sheetId="71" r:id="rId24"/>
    <sheet name="26 - Trab. para Própria Emp." sheetId="72" r:id="rId25"/>
    <sheet name="27 - CEVMP e SC" sheetId="73" r:id="rId26"/>
    <sheet name="28 - Custo com o Pessoal" sheetId="74" r:id="rId27"/>
    <sheet name="29 - Amortizações" sheetId="75" r:id="rId28"/>
    <sheet name="30 - Outros Custos e Perdas Op." sheetId="76" r:id="rId29"/>
    <sheet name="31 - Resultados Financeiros" sheetId="77" r:id="rId30"/>
    <sheet name="32 - Res. de Filiais Associadas" sheetId="78" r:id="rId31"/>
    <sheet name="33 - Res. não Operacionais" sheetId="79" r:id="rId32"/>
    <sheet name="34 - Resultados Extraordinários" sheetId="80" r:id="rId33"/>
    <sheet name="35 - Imposto Sobre o Rendimento" sheetId="81" r:id="rId34"/>
    <sheet name="36 - Resp. Assumidas e não R." sheetId="82" r:id="rId35"/>
    <sheet name="Imp Ind. Marvine Lda" sheetId="44" r:id="rId36"/>
    <sheet name="Folha1" sheetId="83" r:id="rId37"/>
  </sheets>
  <externalReferences>
    <externalReference r:id="rId38"/>
    <externalReference r:id="rId39"/>
  </externalReferences>
  <definedNames>
    <definedName name="_ANO1">Parâmetros!$F$5</definedName>
    <definedName name="_ANO2">Parâmetros!$F$6</definedName>
    <definedName name="_xlnm.Print_Area" localSheetId="1">Balanço!$A$5:$E$52</definedName>
    <definedName name="_xlnm.Print_Area" localSheetId="2">'Demonstração de Resultados'!$A$1:$F$36</definedName>
    <definedName name="_xlnm.Print_Area" localSheetId="35">'Imp Ind. Marvine Lda'!$A$1:$E$124</definedName>
    <definedName name="EMPRESA1">Parâmetros!$D$5</definedName>
    <definedName name="EMPRESA2">Parâmetros!$D$6</definedName>
    <definedName name="MF">Parâmetros!$D$9</definedName>
    <definedName name="MI">Parâmetros!$D$8</definedName>
  </definedNames>
  <calcPr calcId="162913"/>
</workbook>
</file>

<file path=xl/calcChain.xml><?xml version="1.0" encoding="utf-8"?>
<calcChain xmlns="http://schemas.openxmlformats.org/spreadsheetml/2006/main">
  <c r="E7" i="51" l="1"/>
  <c r="E29" i="4" l="1"/>
  <c r="E23" i="4"/>
  <c r="F22" i="4"/>
  <c r="E21" i="4"/>
  <c r="E18" i="4"/>
  <c r="E17" i="4"/>
  <c r="E16" i="4"/>
  <c r="E15" i="4"/>
  <c r="E13" i="4"/>
  <c r="F12" i="4"/>
  <c r="F19" i="4" s="1"/>
  <c r="F24" i="4" s="1"/>
  <c r="F27" i="4" s="1"/>
  <c r="F32" i="4" s="1"/>
  <c r="E11" i="4"/>
  <c r="E10" i="4"/>
  <c r="E9" i="4"/>
  <c r="D45" i="1"/>
  <c r="E12" i="4" l="1"/>
  <c r="E19" i="4" s="1"/>
  <c r="E24" i="4" s="1"/>
  <c r="E32" i="4" s="1"/>
  <c r="F13" i="65"/>
  <c r="C20" i="56"/>
  <c r="C45" i="77" l="1"/>
  <c r="D48" i="1" l="1"/>
  <c r="D32" i="1" l="1"/>
  <c r="D20" i="1"/>
  <c r="D41" i="1" l="1"/>
  <c r="D19" i="76" l="1"/>
  <c r="C19" i="76"/>
  <c r="D11" i="76"/>
  <c r="C11" i="76"/>
  <c r="D2" i="82"/>
  <c r="C2" i="82"/>
  <c r="D19" i="81"/>
  <c r="D22" i="81" s="1"/>
  <c r="D28" i="81" s="1"/>
  <c r="C22" i="81"/>
  <c r="C28" i="81" s="1"/>
  <c r="D13" i="80"/>
  <c r="C13" i="80"/>
  <c r="D4" i="80"/>
  <c r="C4" i="80"/>
  <c r="D20" i="79"/>
  <c r="C20" i="79"/>
  <c r="D4" i="79"/>
  <c r="C4" i="79"/>
  <c r="D14" i="78"/>
  <c r="C14" i="78"/>
  <c r="D2" i="78"/>
  <c r="C2" i="78"/>
  <c r="D28" i="77"/>
  <c r="C17" i="77"/>
  <c r="D4" i="77"/>
  <c r="C4" i="77"/>
  <c r="D7" i="75"/>
  <c r="C7" i="75"/>
  <c r="D13" i="74"/>
  <c r="C13" i="74"/>
  <c r="F9" i="73"/>
  <c r="E9" i="73"/>
  <c r="D9" i="73"/>
  <c r="C9" i="73"/>
  <c r="G6" i="73"/>
  <c r="G5" i="73"/>
  <c r="D4" i="72"/>
  <c r="D13" i="72" s="1"/>
  <c r="C4" i="72"/>
  <c r="C13" i="72" s="1"/>
  <c r="D2" i="72"/>
  <c r="C2" i="72"/>
  <c r="E9" i="71"/>
  <c r="D9" i="71"/>
  <c r="C9" i="71"/>
  <c r="F7" i="71"/>
  <c r="F6" i="71"/>
  <c r="F5" i="71"/>
  <c r="D12" i="70"/>
  <c r="C12" i="70"/>
  <c r="D4" i="70"/>
  <c r="C4" i="70"/>
  <c r="D19" i="69"/>
  <c r="C19" i="69"/>
  <c r="D12" i="69"/>
  <c r="C12" i="69"/>
  <c r="D9" i="69"/>
  <c r="C9" i="69"/>
  <c r="D6" i="68"/>
  <c r="D11" i="68" s="1"/>
  <c r="C6" i="68"/>
  <c r="C11" i="68" s="1"/>
  <c r="D45" i="77" l="1"/>
  <c r="D38" i="79"/>
  <c r="D21" i="80"/>
  <c r="C38" i="79"/>
  <c r="C21" i="80"/>
  <c r="F9" i="71"/>
  <c r="G9" i="73"/>
  <c r="D9" i="67"/>
  <c r="C9" i="67"/>
  <c r="E12" i="66"/>
  <c r="D12" i="66"/>
  <c r="C12" i="66"/>
  <c r="F10" i="66"/>
  <c r="F9" i="66"/>
  <c r="F8" i="66"/>
  <c r="F7" i="66"/>
  <c r="D36" i="65"/>
  <c r="C36" i="65"/>
  <c r="E19" i="65"/>
  <c r="D19" i="65"/>
  <c r="C19" i="65"/>
  <c r="F17" i="65"/>
  <c r="F16" i="65"/>
  <c r="F15" i="65"/>
  <c r="F14" i="65"/>
  <c r="F12" i="65"/>
  <c r="F11" i="65"/>
  <c r="F10" i="65"/>
  <c r="F9" i="65"/>
  <c r="F8" i="65"/>
  <c r="E12" i="64"/>
  <c r="D12" i="64"/>
  <c r="C12" i="64"/>
  <c r="F10" i="64"/>
  <c r="F8" i="64"/>
  <c r="F7" i="64"/>
  <c r="F6" i="64"/>
  <c r="E8" i="63"/>
  <c r="D8" i="63"/>
  <c r="C8" i="63"/>
  <c r="F6" i="63"/>
  <c r="F12" i="64" l="1"/>
  <c r="F12" i="66"/>
  <c r="F8" i="63"/>
  <c r="F19" i="65"/>
  <c r="E13" i="62"/>
  <c r="D13" i="62"/>
  <c r="C13" i="62"/>
  <c r="F11" i="62"/>
  <c r="F10" i="62"/>
  <c r="F9" i="62"/>
  <c r="F8" i="62"/>
  <c r="E15" i="61"/>
  <c r="D15" i="61"/>
  <c r="C15" i="61"/>
  <c r="F13" i="61"/>
  <c r="F12" i="61"/>
  <c r="F11" i="61"/>
  <c r="F10" i="61"/>
  <c r="F9" i="61"/>
  <c r="F8" i="61"/>
  <c r="F7" i="61"/>
  <c r="E10" i="60"/>
  <c r="D10" i="60"/>
  <c r="C10" i="60"/>
  <c r="F8" i="60"/>
  <c r="F7" i="60"/>
  <c r="F6" i="60"/>
  <c r="F5" i="60"/>
  <c r="C28" i="59"/>
  <c r="D28" i="59"/>
  <c r="E28" i="59"/>
  <c r="F10" i="60" l="1"/>
  <c r="F15" i="61"/>
  <c r="F13" i="62"/>
  <c r="F28" i="59"/>
  <c r="E20" i="59"/>
  <c r="D20" i="59"/>
  <c r="C20" i="59"/>
  <c r="F17" i="59"/>
  <c r="F20" i="59" s="1"/>
  <c r="E11" i="59"/>
  <c r="D11" i="59"/>
  <c r="C11" i="59"/>
  <c r="F9" i="59"/>
  <c r="F8" i="59"/>
  <c r="F7" i="59"/>
  <c r="F6" i="59"/>
  <c r="D10" i="58"/>
  <c r="C10" i="58"/>
  <c r="D31" i="57"/>
  <c r="C31" i="57"/>
  <c r="E21" i="57"/>
  <c r="D21" i="57"/>
  <c r="C21" i="57"/>
  <c r="F19" i="57"/>
  <c r="F18" i="57"/>
  <c r="D12" i="57"/>
  <c r="C12" i="57"/>
  <c r="E36" i="56"/>
  <c r="D36" i="56"/>
  <c r="C36" i="56"/>
  <c r="F34" i="56"/>
  <c r="F33" i="56"/>
  <c r="F32" i="56"/>
  <c r="F31" i="56"/>
  <c r="F30" i="56"/>
  <c r="F29" i="56"/>
  <c r="F28" i="56"/>
  <c r="F27" i="56"/>
  <c r="F26" i="56"/>
  <c r="E20" i="56"/>
  <c r="D20" i="56"/>
  <c r="F18" i="56"/>
  <c r="F17" i="56"/>
  <c r="F16" i="56"/>
  <c r="F15" i="56"/>
  <c r="F14" i="56"/>
  <c r="F13" i="56"/>
  <c r="F12" i="56"/>
  <c r="F11" i="56"/>
  <c r="F10" i="56"/>
  <c r="F9" i="56"/>
  <c r="E64" i="55"/>
  <c r="D64" i="55"/>
  <c r="C64" i="55"/>
  <c r="F63" i="55"/>
  <c r="F62" i="55"/>
  <c r="G52" i="55"/>
  <c r="E52" i="55"/>
  <c r="D52" i="55"/>
  <c r="C52" i="55"/>
  <c r="F51" i="55"/>
  <c r="F50" i="55"/>
  <c r="F49" i="55"/>
  <c r="F48" i="55"/>
  <c r="E27" i="55"/>
  <c r="D27" i="55"/>
  <c r="C27" i="55"/>
  <c r="F26" i="55"/>
  <c r="F25" i="55"/>
  <c r="F24" i="55"/>
  <c r="F23" i="55"/>
  <c r="F22" i="55"/>
  <c r="F21" i="55"/>
  <c r="D14" i="55"/>
  <c r="C14" i="55"/>
  <c r="E12" i="55"/>
  <c r="E11" i="55"/>
  <c r="E10" i="55"/>
  <c r="E9" i="55"/>
  <c r="E8" i="55"/>
  <c r="E7" i="55"/>
  <c r="D50" i="54"/>
  <c r="E30" i="54"/>
  <c r="D30" i="54"/>
  <c r="C30" i="54"/>
  <c r="F29" i="54"/>
  <c r="F28" i="54"/>
  <c r="F27" i="54"/>
  <c r="G21" i="54"/>
  <c r="F21" i="54"/>
  <c r="E21" i="54"/>
  <c r="D21" i="54"/>
  <c r="C21" i="54"/>
  <c r="H19" i="54"/>
  <c r="H18" i="54"/>
  <c r="E11" i="54"/>
  <c r="D11" i="54"/>
  <c r="C11" i="54"/>
  <c r="F9" i="54"/>
  <c r="F8" i="54"/>
  <c r="F7" i="54"/>
  <c r="F6" i="54"/>
  <c r="C86" i="53"/>
  <c r="D72" i="53"/>
  <c r="C72" i="53"/>
  <c r="E58" i="53"/>
  <c r="D58" i="53"/>
  <c r="C58" i="53"/>
  <c r="F56" i="53"/>
  <c r="F55" i="53"/>
  <c r="F54" i="53"/>
  <c r="F50" i="53"/>
  <c r="F49" i="53"/>
  <c r="F48" i="53"/>
  <c r="G41" i="53"/>
  <c r="D41" i="53"/>
  <c r="C41" i="53"/>
  <c r="G31" i="53"/>
  <c r="D31" i="53"/>
  <c r="C31" i="53"/>
  <c r="D18" i="53"/>
  <c r="C18" i="53"/>
  <c r="E15" i="53"/>
  <c r="E14" i="53"/>
  <c r="E13" i="53"/>
  <c r="E10" i="53"/>
  <c r="E9" i="53"/>
  <c r="E8" i="53"/>
  <c r="E7" i="53"/>
  <c r="E37" i="52"/>
  <c r="D37" i="52"/>
  <c r="C37" i="52"/>
  <c r="F35" i="52"/>
  <c r="F34" i="52"/>
  <c r="F33" i="52"/>
  <c r="F32" i="52"/>
  <c r="F31" i="52"/>
  <c r="E26" i="52"/>
  <c r="D26" i="52"/>
  <c r="C26" i="52"/>
  <c r="F24" i="52"/>
  <c r="F23" i="52"/>
  <c r="F22" i="52"/>
  <c r="F21" i="52"/>
  <c r="F20" i="52"/>
  <c r="D12" i="52"/>
  <c r="C12" i="52"/>
  <c r="E10" i="52"/>
  <c r="E9" i="52"/>
  <c r="E8" i="52"/>
  <c r="E7" i="52"/>
  <c r="E6" i="52"/>
  <c r="E102" i="51"/>
  <c r="D102" i="51"/>
  <c r="C102" i="51"/>
  <c r="H85" i="51"/>
  <c r="G85" i="51"/>
  <c r="F85" i="51"/>
  <c r="E85" i="51"/>
  <c r="D85" i="51"/>
  <c r="C85" i="51"/>
  <c r="D70" i="51"/>
  <c r="C70" i="51"/>
  <c r="E69" i="51"/>
  <c r="E68" i="51"/>
  <c r="E67" i="51"/>
  <c r="E66" i="51"/>
  <c r="E65" i="51"/>
  <c r="E64" i="51"/>
  <c r="E63" i="51"/>
  <c r="E62" i="51"/>
  <c r="F57" i="51"/>
  <c r="E57" i="51"/>
  <c r="D57" i="51"/>
  <c r="C57" i="51"/>
  <c r="H55" i="51"/>
  <c r="H54" i="51"/>
  <c r="H53" i="51"/>
  <c r="H52" i="51"/>
  <c r="H51" i="51"/>
  <c r="H50" i="51"/>
  <c r="H49" i="51"/>
  <c r="F45" i="51"/>
  <c r="E45" i="51"/>
  <c r="D45" i="51"/>
  <c r="C45" i="51"/>
  <c r="H43" i="51"/>
  <c r="H42" i="51"/>
  <c r="H41" i="51"/>
  <c r="H40" i="51"/>
  <c r="H39" i="51"/>
  <c r="H38" i="51"/>
  <c r="H37" i="51"/>
  <c r="H36" i="51"/>
  <c r="H35" i="51"/>
  <c r="D31" i="51"/>
  <c r="C31" i="51"/>
  <c r="E30" i="51"/>
  <c r="E29" i="51"/>
  <c r="E28" i="51"/>
  <c r="E27" i="51"/>
  <c r="E26" i="51"/>
  <c r="E25" i="51"/>
  <c r="E24" i="51"/>
  <c r="E23" i="51"/>
  <c r="E22" i="51"/>
  <c r="D17" i="51"/>
  <c r="C17" i="51"/>
  <c r="E15" i="51"/>
  <c r="E14" i="51"/>
  <c r="E13" i="51"/>
  <c r="E12" i="51"/>
  <c r="E11" i="51"/>
  <c r="E10" i="51"/>
  <c r="E9" i="51"/>
  <c r="E8" i="51"/>
  <c r="H45" i="51" l="1"/>
  <c r="E70" i="51"/>
  <c r="H21" i="54"/>
  <c r="F52" i="55"/>
  <c r="F64" i="55"/>
  <c r="E17" i="51"/>
  <c r="F26" i="52"/>
  <c r="F37" i="52"/>
  <c r="F58" i="53"/>
  <c r="E14" i="55"/>
  <c r="F11" i="59"/>
  <c r="E31" i="51"/>
  <c r="H57" i="51"/>
  <c r="E12" i="52"/>
  <c r="E18" i="53"/>
  <c r="F11" i="54"/>
  <c r="F30" i="54"/>
  <c r="F27" i="55"/>
  <c r="F20" i="56"/>
  <c r="F36" i="56"/>
  <c r="F21" i="57"/>
  <c r="D19" i="1"/>
  <c r="D29" i="1"/>
  <c r="D18" i="1"/>
  <c r="D11" i="1"/>
  <c r="D10" i="1"/>
  <c r="D46" i="1"/>
  <c r="D31" i="1"/>
  <c r="D30" i="1"/>
  <c r="D13" i="1" l="1"/>
  <c r="D12" i="1"/>
  <c r="E40" i="1" l="1"/>
  <c r="E39" i="1"/>
  <c r="D40" i="1"/>
  <c r="D39" i="1"/>
  <c r="E76" i="44"/>
  <c r="E63" i="44"/>
  <c r="E53" i="44"/>
  <c r="E51" i="44"/>
  <c r="D76" i="44"/>
  <c r="D53" i="44"/>
  <c r="D51" i="44"/>
  <c r="E49" i="1" l="1"/>
  <c r="E93" i="44"/>
  <c r="D15" i="1"/>
  <c r="D42" i="1"/>
  <c r="E10" i="44"/>
  <c r="E4" i="44"/>
  <c r="E22" i="1"/>
  <c r="D93" i="44"/>
  <c r="E20" i="44"/>
  <c r="E33" i="44"/>
  <c r="D20" i="44"/>
  <c r="D33" i="44"/>
  <c r="E123" i="44"/>
  <c r="E18" i="44"/>
  <c r="D123" i="44"/>
  <c r="D18" i="44"/>
  <c r="D10" i="44"/>
  <c r="D4" i="44"/>
  <c r="E15" i="1"/>
  <c r="E42" i="1"/>
  <c r="D19" i="44" l="1"/>
  <c r="D34" i="44" s="1"/>
  <c r="D36" i="44" s="1"/>
  <c r="D54" i="44" s="1"/>
  <c r="D57" i="44" s="1"/>
  <c r="D124" i="44"/>
  <c r="E24" i="1"/>
  <c r="E19" i="44"/>
  <c r="E34" i="44" s="1"/>
  <c r="E36" i="44" s="1"/>
  <c r="E54" i="44" s="1"/>
  <c r="E124" i="44"/>
  <c r="E33" i="1" l="1"/>
  <c r="E51" i="1" s="1"/>
  <c r="E53" i="1" s="1"/>
  <c r="D56" i="44"/>
  <c r="E57" i="44"/>
  <c r="D61" i="44" s="1"/>
  <c r="D63" i="44" s="1"/>
  <c r="E56" i="44"/>
  <c r="E65" i="44" s="1"/>
  <c r="E67" i="44" s="1"/>
  <c r="D65" i="44" l="1"/>
  <c r="D67" i="44" s="1"/>
  <c r="D69" i="44" s="1"/>
  <c r="E69" i="44"/>
  <c r="E78" i="44"/>
  <c r="D78" i="44" l="1"/>
  <c r="D49" i="1" l="1"/>
  <c r="D22" i="1" l="1"/>
  <c r="D24" i="1" s="1"/>
  <c r="D33" i="1" l="1"/>
  <c r="D51" i="1" s="1"/>
  <c r="D53" i="1" l="1"/>
</calcChain>
</file>

<file path=xl/comments1.xml><?xml version="1.0" encoding="utf-8"?>
<comments xmlns="http://schemas.openxmlformats.org/spreadsheetml/2006/main">
  <authors>
    <author>Carlos Assunção</author>
  </authors>
  <commentList>
    <comment ref="A4" authorId="0" shapeId="0">
      <text>
        <r>
          <rPr>
            <b/>
            <sz val="8"/>
            <color indexed="81"/>
            <rFont val="Tahoma"/>
            <family val="2"/>
          </rPr>
          <t>Carlos Assunção: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<sst xmlns="http://schemas.openxmlformats.org/spreadsheetml/2006/main" count="1390" uniqueCount="926">
  <si>
    <t>Investimentos em subsidiárias e associadas</t>
  </si>
  <si>
    <t>Mês Final</t>
  </si>
  <si>
    <t>Contas</t>
  </si>
  <si>
    <t>(por natureza)</t>
  </si>
  <si>
    <t>Todos os valores totais (somas) quando negativos deve-se analisar as situações das restantes contas</t>
  </si>
  <si>
    <t>Cód.</t>
  </si>
  <si>
    <t>Ano</t>
  </si>
  <si>
    <t>Empresa N</t>
  </si>
  <si>
    <t>Empresa N-1</t>
  </si>
  <si>
    <t>Empresa N-2</t>
  </si>
  <si>
    <t>Balanço</t>
  </si>
  <si>
    <t>Demonstração de Resultados</t>
  </si>
  <si>
    <t>Demonstração de Fluxos de Caixa</t>
  </si>
  <si>
    <t>Valores expressos em</t>
  </si>
  <si>
    <t>Designação</t>
  </si>
  <si>
    <t>Notas</t>
  </si>
  <si>
    <t>Exercício</t>
  </si>
  <si>
    <t>ACTIVO</t>
  </si>
  <si>
    <t>Imobilizações incorpóreas</t>
  </si>
  <si>
    <t>Outros activos financeiros</t>
  </si>
  <si>
    <t>Outros activos não correntes</t>
  </si>
  <si>
    <t>Existências</t>
  </si>
  <si>
    <t>Contas a receber</t>
  </si>
  <si>
    <t>Disponibilidades</t>
  </si>
  <si>
    <t>Outros activos correntes</t>
  </si>
  <si>
    <t>Total do activo</t>
  </si>
  <si>
    <t>CAPITAL PRÓPRIO E PASSIVO</t>
  </si>
  <si>
    <t xml:space="preserve">   Capital próprio:</t>
  </si>
  <si>
    <t>Capital</t>
  </si>
  <si>
    <t>Reservas</t>
  </si>
  <si>
    <t>Resultados transitados</t>
  </si>
  <si>
    <t>Resultados do exercício</t>
  </si>
  <si>
    <t xml:space="preserve">   Passivo não corrente:</t>
  </si>
  <si>
    <t>Empréstimos de médio e longo prazos</t>
  </si>
  <si>
    <t>Impostos diferidos</t>
  </si>
  <si>
    <t>Provisões para pensões</t>
  </si>
  <si>
    <t>Provisões para outros riscos e encargos</t>
  </si>
  <si>
    <t>Outros passivos não correntes</t>
  </si>
  <si>
    <t xml:space="preserve">   Passivo corrente:</t>
  </si>
  <si>
    <t>Contas a pagar</t>
  </si>
  <si>
    <t>Empréstimos de curto prazo</t>
  </si>
  <si>
    <t>Outros passivos correntes</t>
  </si>
  <si>
    <t>Total do capital próprio e passivo</t>
  </si>
  <si>
    <t>DEMONSTRAÇÃO DE RESULTADOS</t>
  </si>
  <si>
    <t>Vendas</t>
  </si>
  <si>
    <t>Prestações de serviços</t>
  </si>
  <si>
    <t>Outros proveitos operacionais</t>
  </si>
  <si>
    <t>Variação nos produtos acabados e produtos em vias de fabrico</t>
  </si>
  <si>
    <t>Trabalhos para a própria empresa</t>
  </si>
  <si>
    <t>Custos das mercadorias vendidas e das matérias-primas e subsidiárias consumidas</t>
  </si>
  <si>
    <t>Custos com o pessoal</t>
  </si>
  <si>
    <t>Amortizações</t>
  </si>
  <si>
    <t>Outros custos e perdas operacionais</t>
  </si>
  <si>
    <t>Resultados financeiros</t>
  </si>
  <si>
    <t>Resultados de filiais e associadas</t>
  </si>
  <si>
    <t>Resultados não operacionais</t>
  </si>
  <si>
    <t>Resultados extraordinários</t>
  </si>
  <si>
    <t>Imposto sobre o rendimento</t>
  </si>
  <si>
    <t>Resultado líquido do exercício</t>
  </si>
  <si>
    <t>Descrição</t>
  </si>
  <si>
    <t>3312+3322+3332+3392(dividas com mais 1 ano)(Mês0 a 15)</t>
  </si>
  <si>
    <t>51+52+53+54(Mês 0a15)</t>
  </si>
  <si>
    <t>55+56+57+58+59(Mês 0a15)</t>
  </si>
  <si>
    <t>81(Mês 0a15)</t>
  </si>
  <si>
    <t>88(Mês 0a15)</t>
  </si>
  <si>
    <t>41+42+43+44+45+46+47+48-49(Mês 0a15)</t>
  </si>
  <si>
    <t>133+134+135+139+148-193-194+199(Mês 0a15)</t>
  </si>
  <si>
    <t>131+132+148-191-192(Mês 0a15)</t>
  </si>
  <si>
    <t>12+148-182(Mês 0a15)</t>
  </si>
  <si>
    <t>Suspensa</t>
  </si>
  <si>
    <t>391(Mês 0a15)</t>
  </si>
  <si>
    <t>392+393+394+399(Mês 0a15)</t>
  </si>
  <si>
    <t>32+319(sl.cred)+34(sl.cred)+35(sl.cred)+371+3792(dividas com mais 1 ano)(Mês 0a15)</t>
  </si>
  <si>
    <t>32+319(sl.cred)+34(sl.cred)+35(sl.cred)+371+3792(dividas com menos 1 ano)(Mês 0a15)</t>
  </si>
  <si>
    <t>3311+3321+3331+3391(dividas com menos de 1 ano)(Mês0 a 15)</t>
  </si>
  <si>
    <t>Parte cor. dos emp. a médio e longos prazos</t>
  </si>
  <si>
    <t>Não entendo esta rubrica</t>
  </si>
  <si>
    <t>Contador</t>
  </si>
  <si>
    <t>374+373+(Mês 0a15)</t>
  </si>
  <si>
    <t>375+376(Mês 0a15)</t>
  </si>
  <si>
    <t>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</si>
  <si>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</si>
  <si>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</si>
  <si>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</si>
  <si>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</si>
  <si>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</si>
  <si>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</si>
  <si>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</si>
  <si>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</si>
  <si>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</si>
  <si>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</si>
  <si>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</si>
  <si>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</si>
  <si>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</si>
  <si>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Soma da I a V</t>
  </si>
  <si>
    <t>Soma da VI a IX</t>
  </si>
  <si>
    <t>Soma da X a XIII</t>
  </si>
  <si>
    <t>Soma da XIV a XVIIII</t>
  </si>
  <si>
    <t>Soma da XIX a XXIII</t>
  </si>
  <si>
    <t>11+141+142+147-181(Mês 0a15)</t>
  </si>
  <si>
    <t>61(Mês 1a13)</t>
  </si>
  <si>
    <t>62(Mês 1a13)</t>
  </si>
  <si>
    <t>63(Mês 1a13)</t>
  </si>
  <si>
    <t>64(Mês 1a13)</t>
  </si>
  <si>
    <t>65(Mês 1a13)</t>
  </si>
  <si>
    <t>71(Mês 1a13)</t>
  </si>
  <si>
    <t>72(Mês 1a13)</t>
  </si>
  <si>
    <t>73(Mês 1a13)</t>
  </si>
  <si>
    <t>75(Mês 1a13)</t>
  </si>
  <si>
    <t>66-76(Mês 1a13)</t>
  </si>
  <si>
    <t>67-77(Mês 1a13)</t>
  </si>
  <si>
    <t>68-78(Mês 1a13)</t>
  </si>
  <si>
    <t>1-Soma da I a III</t>
  </si>
  <si>
    <t>2-Soma da I a V-(VIaIX)</t>
  </si>
  <si>
    <t>3-Soma da 2 + (XaXII)</t>
  </si>
  <si>
    <t>4-Soma da 3 -XIII</t>
  </si>
  <si>
    <t>871(Mês 15-15)</t>
  </si>
  <si>
    <t>69-79(Mês 1a13)</t>
  </si>
  <si>
    <t>872(Mês 15-15)</t>
  </si>
  <si>
    <t>5-Soma da 4 +XIV+XV</t>
  </si>
  <si>
    <t>Obs:</t>
  </si>
  <si>
    <t>Mês Inicial</t>
  </si>
  <si>
    <t>22+23+24+25+26+27-29(Mês 0a15)</t>
  </si>
  <si>
    <t>31+329(sl.dev)+34(sl.dev)+35(sl.dev)+372+3791-381-382-28+383-389(dividas com menos de 1 ano)(Mês 0a15)</t>
  </si>
  <si>
    <t>saldos Devedores&gt;1 ano 31+329(sl.dev)+34(sl.dev)+35(sl.dev)+372+3791-381-382-383-389(dividas com mais 1 ano)(Mês 0a15)</t>
  </si>
  <si>
    <t>Excerto do Modelo n.º 1 Código de Imposto Industrial</t>
  </si>
  <si>
    <t>N.º</t>
  </si>
  <si>
    <t>DESIGNAÇÃO</t>
  </si>
  <si>
    <t>CONTA PGC</t>
  </si>
  <si>
    <t>EXERCÍCIO CORRENTE</t>
  </si>
  <si>
    <t>2.1</t>
  </si>
  <si>
    <t>Proveitos e Ganhos por Natureza</t>
  </si>
  <si>
    <t>2.1.1</t>
  </si>
  <si>
    <t>Vendas de produtos</t>
  </si>
  <si>
    <t>6.1.1/2</t>
  </si>
  <si>
    <t>2.1.2</t>
  </si>
  <si>
    <t>Vendas de mercadorias</t>
  </si>
  <si>
    <t>6.1.3</t>
  </si>
  <si>
    <t>2.1.3</t>
  </si>
  <si>
    <t>2.1.4</t>
  </si>
  <si>
    <t>A</t>
  </si>
  <si>
    <t>Soma dos Proveitos Operacionais</t>
  </si>
  <si>
    <t>2.1.5</t>
  </si>
  <si>
    <t xml:space="preserve">Variação nos inventários de pro. acab. e prod. curso  </t>
  </si>
  <si>
    <t>2.1.6</t>
  </si>
  <si>
    <t>2.1.7</t>
  </si>
  <si>
    <t>Proveitos e ganhos financeiros gerais</t>
  </si>
  <si>
    <t>2.1.8</t>
  </si>
  <si>
    <t>Proveitos e ganhos financeiros em filiais e assoc.</t>
  </si>
  <si>
    <t>2.1.9</t>
  </si>
  <si>
    <t>Outros proveitos e ganhos não operacionais</t>
  </si>
  <si>
    <t>2.2.0</t>
  </si>
  <si>
    <t>Proveitos e ganhos extraordinários</t>
  </si>
  <si>
    <t>B</t>
  </si>
  <si>
    <t>Soma de Outros Proveitos e Ganhos não Operacionais</t>
  </si>
  <si>
    <t>C</t>
  </si>
  <si>
    <t>TOTAL DOS PROVEITOS (A + B)</t>
  </si>
  <si>
    <t>2.2</t>
  </si>
  <si>
    <t>Custos e perdas por Natureza</t>
  </si>
  <si>
    <t>2.2.1</t>
  </si>
  <si>
    <t>Custo das mercadorias vendidas e mat. consumidas</t>
  </si>
  <si>
    <t>2.2.2</t>
  </si>
  <si>
    <t>2.2.3</t>
  </si>
  <si>
    <t>Amortizações do exercício</t>
  </si>
  <si>
    <t>2.2.4</t>
  </si>
  <si>
    <t>Sub-contratos</t>
  </si>
  <si>
    <t>75.1</t>
  </si>
  <si>
    <t>2.2.5</t>
  </si>
  <si>
    <t>Fornecimentos e serviços de terceiros</t>
  </si>
  <si>
    <t>75.2</t>
  </si>
  <si>
    <t>2.2.6</t>
  </si>
  <si>
    <t>Impostos</t>
  </si>
  <si>
    <t>75.3</t>
  </si>
  <si>
    <t>2.2.7</t>
  </si>
  <si>
    <t>75.8</t>
  </si>
  <si>
    <t>2.2.8</t>
  </si>
  <si>
    <t>Custos e perdas financeiras gerais</t>
  </si>
  <si>
    <t>2.2.9</t>
  </si>
  <si>
    <t>Custos e perdas financeiras em filiais e associadas</t>
  </si>
  <si>
    <t>2.3.0</t>
  </si>
  <si>
    <t>Outros custos e perdas não operacionais</t>
  </si>
  <si>
    <t>2.3.1</t>
  </si>
  <si>
    <t>Custos e perdas extraordinárias</t>
  </si>
  <si>
    <t>D</t>
  </si>
  <si>
    <t>TOTAL DOS CUSTOS</t>
  </si>
  <si>
    <t>E</t>
  </si>
  <si>
    <t>Resultado antes de impostos (C - D)</t>
  </si>
  <si>
    <t>F</t>
  </si>
  <si>
    <t>Impostos sobre os lucros</t>
  </si>
  <si>
    <t>G</t>
  </si>
  <si>
    <t>RESULTADO LÍQUIDO DO EXERCÍCIO (E-F)</t>
  </si>
  <si>
    <t>APURAMENTO DO LUCRO TRIBUTÁVEL</t>
  </si>
  <si>
    <t>A ACRESCER</t>
  </si>
  <si>
    <t>Prémios de seguro de vida (artigo 25º CII)</t>
  </si>
  <si>
    <t>Amortizações excessivas (artigo 29º e 31º CII)</t>
  </si>
  <si>
    <t>Provisões excessivas (artigo 36º CII)</t>
  </si>
  <si>
    <t>Provisões não previstas (artigo36º CII)</t>
  </si>
  <si>
    <t>Donativos excedentes aos previstos no (artigo 39º CII)</t>
  </si>
  <si>
    <t>Imposto Industrial (artigo 40.ºCII)</t>
  </si>
  <si>
    <t>Multas fiscais (artigo 40º CII)</t>
  </si>
  <si>
    <t>Despesas de representação (artigo 40º CII)</t>
  </si>
  <si>
    <t>Despesas de existências (artigo 42º CII)</t>
  </si>
  <si>
    <t>Despesas não especificadas (artigo 49º CII)</t>
  </si>
  <si>
    <t>Outros acréscimos</t>
  </si>
  <si>
    <t>SOMA ( A ACRESCER)</t>
  </si>
  <si>
    <t>A DEDUZIR</t>
  </si>
  <si>
    <t>Rendimentos do artigo 45º CII</t>
  </si>
  <si>
    <t>SOMA ( A DEDUZIR)</t>
  </si>
  <si>
    <t>LUCRO TRIBUTÁVEL (RES. LÍQUIDO + A ACRESCER - A DEDUZIR)</t>
  </si>
  <si>
    <t>APURAMENTO DA MATÉRIA COLECTÁVEL</t>
  </si>
  <si>
    <t>H</t>
  </si>
  <si>
    <t>LUCRO TRIBUTÁVEL</t>
  </si>
  <si>
    <t>PREJUÍZO</t>
  </si>
  <si>
    <r>
      <t xml:space="preserve">CÁLCULO DOS PREJUÍZOS FISCAIS </t>
    </r>
    <r>
      <rPr>
        <b/>
        <sz val="10"/>
        <rFont val="Arial"/>
        <family val="2"/>
      </rPr>
      <t>(Artº 46º CII)</t>
    </r>
  </si>
  <si>
    <t>EXERCÍCIO Nº 3</t>
  </si>
  <si>
    <t>EXERCÍCIO Nº 2</t>
  </si>
  <si>
    <t>EXERCÍCIO Nº 1</t>
  </si>
  <si>
    <t>DEDUÇÕES À MATÉRIA COLECTÁVEL</t>
  </si>
  <si>
    <t>PREJUÍZOS FISCAIS</t>
  </si>
  <si>
    <t>J</t>
  </si>
  <si>
    <t>BENEFÍCIOS FISCAIS (LUCROS LEVADOS A RESERVAS, OUTROS, ETC.)</t>
  </si>
  <si>
    <t>K</t>
  </si>
  <si>
    <t>MATÉRIA COLECTÁVEL (H-I+J)</t>
  </si>
  <si>
    <t>CÁLCULO DO IMPOSTO</t>
  </si>
  <si>
    <t>IMPOSTO Á TAXA NORMAL</t>
  </si>
  <si>
    <t>IMPOSTO À TAXA REDUZIDA</t>
  </si>
  <si>
    <t>L</t>
  </si>
  <si>
    <t>COLECTA</t>
  </si>
  <si>
    <t>DEDUÇÕES À COLECTA</t>
  </si>
  <si>
    <r>
      <t>IMPOSTO PREDIAL URBANO</t>
    </r>
    <r>
      <rPr>
        <b/>
        <sz val="10"/>
        <rFont val="Arial"/>
        <family val="2"/>
      </rPr>
      <t xml:space="preserve"> (ARTº 81º CII)</t>
    </r>
  </si>
  <si>
    <t>BENEFÍCIOS FISCAIS</t>
  </si>
  <si>
    <t>LIQUIDAÇÕES PROVISÓRIAS</t>
  </si>
  <si>
    <t>RETENÇÕES NA FONTE (LEI 7/97)</t>
  </si>
  <si>
    <t>M</t>
  </si>
  <si>
    <t>SOMA DAS DEDUÇÕES</t>
  </si>
  <si>
    <t>TOTAL A PAGAR (L-M)</t>
  </si>
  <si>
    <t xml:space="preserve">TOTAL a receber </t>
  </si>
  <si>
    <t>CUSTOS COM O PESSOAL</t>
  </si>
  <si>
    <t>CONTA</t>
  </si>
  <si>
    <t>EXERCÍCIO</t>
  </si>
  <si>
    <t>PGC</t>
  </si>
  <si>
    <t>CORRENTE</t>
  </si>
  <si>
    <t>Remunerações - Órgãos sociais</t>
  </si>
  <si>
    <t>72.1</t>
  </si>
  <si>
    <t>Remunerações - Pessoal</t>
  </si>
  <si>
    <t>72.2</t>
  </si>
  <si>
    <t>Pensões - Órgãos sociais</t>
  </si>
  <si>
    <t>72.3.1</t>
  </si>
  <si>
    <t>Pensões - Pessoal</t>
  </si>
  <si>
    <t>72.3.2</t>
  </si>
  <si>
    <t>Prémios para pensões</t>
  </si>
  <si>
    <t>72.4</t>
  </si>
  <si>
    <t>Encargos sobre remunerações</t>
  </si>
  <si>
    <t>72.5</t>
  </si>
  <si>
    <t>Seguros de acidentes de trabalho, doenças profissionais</t>
  </si>
  <si>
    <t>72.6</t>
  </si>
  <si>
    <t>Formação</t>
  </si>
  <si>
    <t>72.7</t>
  </si>
  <si>
    <t>Outras despesas com o pessoal</t>
  </si>
  <si>
    <t>72.8</t>
  </si>
  <si>
    <t>SOMA</t>
  </si>
  <si>
    <t>FORNECIMENTOS E SERVIÇOS DE TERCEIROS</t>
  </si>
  <si>
    <t>Água</t>
  </si>
  <si>
    <t>75.2.11</t>
  </si>
  <si>
    <t>Electricidade</t>
  </si>
  <si>
    <t>75.2.12</t>
  </si>
  <si>
    <t>Combustível, e outros fluídos</t>
  </si>
  <si>
    <t>75.2.13</t>
  </si>
  <si>
    <t>Conservação e reparação</t>
  </si>
  <si>
    <t>75.2.14</t>
  </si>
  <si>
    <t>Material de protecção, segurança e conforto</t>
  </si>
  <si>
    <t>75.2.15</t>
  </si>
  <si>
    <t>Ferramentas e utensílios de desgaste rápido</t>
  </si>
  <si>
    <t>75.2.16</t>
  </si>
  <si>
    <t>Material de escritório</t>
  </si>
  <si>
    <t>75.2.17</t>
  </si>
  <si>
    <t>Livros e documentação técnica</t>
  </si>
  <si>
    <t>75.2.18</t>
  </si>
  <si>
    <t>Outros fornecimentos</t>
  </si>
  <si>
    <t>75.2.19</t>
  </si>
  <si>
    <t>Comunicação</t>
  </si>
  <si>
    <t>75.2.20</t>
  </si>
  <si>
    <t>Rendas e alugueres</t>
  </si>
  <si>
    <t>75.2.21</t>
  </si>
  <si>
    <t xml:space="preserve">Seguros </t>
  </si>
  <si>
    <t>75.2.22</t>
  </si>
  <si>
    <t>Deslocações e estadas</t>
  </si>
  <si>
    <t>75.2.23</t>
  </si>
  <si>
    <t>Despesas de representação</t>
  </si>
  <si>
    <t>75.2.24</t>
  </si>
  <si>
    <t>75.2.26</t>
  </si>
  <si>
    <t>Vigilância e segurança</t>
  </si>
  <si>
    <t>75.2.27</t>
  </si>
  <si>
    <t>Limpeza, higiene e conforto</t>
  </si>
  <si>
    <t>75.2.28</t>
  </si>
  <si>
    <t>Publicidade e propaganda</t>
  </si>
  <si>
    <t>75.2.29</t>
  </si>
  <si>
    <t>Contencioso e notariado</t>
  </si>
  <si>
    <t>75.2.30</t>
  </si>
  <si>
    <t>Comissões a intermediários</t>
  </si>
  <si>
    <t>75.2.31</t>
  </si>
  <si>
    <t>Assistência técnica - Nacional</t>
  </si>
  <si>
    <t>75.2.32.1</t>
  </si>
  <si>
    <t>Assistência técnica - Estrangeira</t>
  </si>
  <si>
    <t>75.2.32.2</t>
  </si>
  <si>
    <t>Trabalhos executados no exterior</t>
  </si>
  <si>
    <t>75.2.33</t>
  </si>
  <si>
    <t>Honorários e avenças</t>
  </si>
  <si>
    <t>75.2.34</t>
  </si>
  <si>
    <t>Royalties</t>
  </si>
  <si>
    <t>75.2.35</t>
  </si>
  <si>
    <t>Outros serviços</t>
  </si>
  <si>
    <t>75.2.39</t>
  </si>
  <si>
    <t>SOMA  ( 3 + 4 )</t>
  </si>
  <si>
    <t>EXERCÍCIO ANTERIOR</t>
  </si>
  <si>
    <t>cr34</t>
  </si>
  <si>
    <t>cr36</t>
  </si>
  <si>
    <t xml:space="preserve"> </t>
  </si>
  <si>
    <t>AKZ</t>
  </si>
  <si>
    <t>cr35</t>
  </si>
  <si>
    <t>bd34</t>
  </si>
  <si>
    <t>bd35</t>
  </si>
  <si>
    <t>bd36</t>
  </si>
  <si>
    <t>bd3791</t>
  </si>
  <si>
    <t>cr3791</t>
  </si>
  <si>
    <t>bd3792</t>
  </si>
  <si>
    <t>cr3792</t>
  </si>
  <si>
    <t xml:space="preserve">bd377 </t>
  </si>
  <si>
    <t>cr377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</si>
  <si>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</si>
  <si>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</si>
  <si>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</si>
  <si>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</si>
  <si>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</si>
  <si>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</si>
  <si>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</si>
  <si>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</si>
  <si>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</si>
  <si>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</si>
  <si>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</si>
  <si>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</si>
  <si>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</si>
  <si>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</si>
  <si>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</si>
  <si>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</si>
  <si>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</si>
  <si>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</si>
  <si>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</si>
  <si>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</si>
  <si>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</si>
  <si>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</si>
  <si>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</si>
  <si>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</si>
  <si>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</si>
  <si>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</si>
  <si>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</si>
  <si>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</si>
  <si>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</si>
  <si>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</si>
  <si>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</si>
  <si>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</si>
  <si>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</si>
  <si>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</si>
  <si>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</si>
  <si>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</si>
  <si>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</si>
  <si>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</si>
  <si>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</si>
  <si>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</si>
  <si>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</si>
  <si>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</si>
  <si>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</si>
  <si>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</si>
  <si>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</si>
  <si>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</si>
  <si>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</si>
  <si>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</si>
  <si>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</si>
  <si>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</si>
  <si>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</si>
  <si>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</si>
  <si>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</si>
  <si>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</si>
  <si>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</si>
  <si>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</si>
  <si>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</si>
  <si>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</si>
  <si>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</si>
  <si>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</si>
  <si>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</si>
  <si>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</si>
  <si>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</si>
  <si>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</si>
  <si>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</si>
  <si>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</si>
  <si>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</si>
  <si>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</si>
  <si>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</si>
  <si>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</si>
  <si>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</si>
  <si>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</si>
  <si>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</si>
  <si>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</si>
  <si>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</si>
  <si>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</si>
  <si>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</si>
  <si>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</si>
  <si>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</si>
  <si>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</si>
  <si>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</si>
  <si>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</si>
  <si>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</si>
  <si>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321…328</t>
  </si>
  <si>
    <t>311...318</t>
  </si>
  <si>
    <t xml:space="preserve">   Activo não corrente:</t>
  </si>
  <si>
    <t xml:space="preserve">   Activo corrente:</t>
  </si>
  <si>
    <t>Imobilizações corpóreas</t>
  </si>
  <si>
    <t>Resultado operacionai</t>
  </si>
  <si>
    <t>Resultado antes de impostos</t>
  </si>
  <si>
    <t>Resultado líquido das actividades correntes</t>
  </si>
  <si>
    <t>MARVINE, LDA</t>
  </si>
  <si>
    <t>BALANÇO  2012</t>
  </si>
  <si>
    <t>4. Imobilização corpórea:</t>
  </si>
  <si>
    <t>4.1 Composição:</t>
  </si>
  <si>
    <t>Rubricas</t>
  </si>
  <si>
    <t>Valor bruto</t>
  </si>
  <si>
    <t>Amortizações acumuladas</t>
  </si>
  <si>
    <t>Valor líquido</t>
  </si>
  <si>
    <t>Terrenos e recursos naturais</t>
  </si>
  <si>
    <t>111-1811</t>
  </si>
  <si>
    <t>Edifícios e outras construções</t>
  </si>
  <si>
    <t>112-1812</t>
  </si>
  <si>
    <t>Equipamento básico</t>
  </si>
  <si>
    <t>113-1813</t>
  </si>
  <si>
    <t>Equipamento de transporte</t>
  </si>
  <si>
    <t>114-1814</t>
  </si>
  <si>
    <t>Equipamento administrativo</t>
  </si>
  <si>
    <t>115-1815</t>
  </si>
  <si>
    <t>Outras imobilizações corpóreas</t>
  </si>
  <si>
    <t>119-1819</t>
  </si>
  <si>
    <t>Taras e vasilhame</t>
  </si>
  <si>
    <t>116-1816</t>
  </si>
  <si>
    <t>Imobilizado em Curso</t>
  </si>
  <si>
    <t>141/142</t>
  </si>
  <si>
    <t>Adiant. Por conta de imobili. corp.</t>
  </si>
  <si>
    <t>Total</t>
  </si>
  <si>
    <t>4.2 Composição por critérios do quadro seguinte</t>
  </si>
  <si>
    <t>Extra Contabilistico Ou Imobilizado</t>
  </si>
  <si>
    <t>Custo histórico</t>
  </si>
  <si>
    <t>Valor de reavaliação</t>
  </si>
  <si>
    <t>4.3 Movimentos, ocorridos durante o exercício, no valor bruto:</t>
  </si>
  <si>
    <t>Vl. Manual</t>
  </si>
  <si>
    <t>Saldo inicial</t>
  </si>
  <si>
    <t>Reavaliações</t>
  </si>
  <si>
    <t>Aumentos</t>
  </si>
  <si>
    <t>Alienações</t>
  </si>
  <si>
    <t>Abates/ /transf.</t>
  </si>
  <si>
    <t>Saldo final</t>
  </si>
  <si>
    <t>4.4 Movimentos, ocorridos durante o exercício, nas amortizações acumuladas:</t>
  </si>
  <si>
    <t>Reforço</t>
  </si>
  <si>
    <t>4.5 Custos financeiros (diferenças de câmbio e custo de empréstimos) capitalizados:</t>
  </si>
  <si>
    <t>Custos financeiros capitalizados</t>
  </si>
  <si>
    <t>Em anos anteriores</t>
  </si>
  <si>
    <t>No ano</t>
  </si>
  <si>
    <t>Será que estes custos estão relacionados nas contas 374,</t>
  </si>
  <si>
    <t>se estão tem se que desdobrar contas.</t>
  </si>
  <si>
    <t>4.6 Restrições existentes:</t>
  </si>
  <si>
    <t>Valor líquido de imobilizações</t>
  </si>
  <si>
    <t>Em poder de terceiros</t>
  </si>
  <si>
    <t>Implantadas em propriedade alheia</t>
  </si>
  <si>
    <t>Localizadas no estrangeiro</t>
  </si>
  <si>
    <t>Reversíveis (a)</t>
  </si>
  <si>
    <t>Penhoradas (b)</t>
  </si>
  <si>
    <t>Hipotecadas (b)</t>
  </si>
  <si>
    <t xml:space="preserve">Só se faz com a ajuda do imobilizado </t>
  </si>
  <si>
    <t>ou desdobrando  o plano de contas</t>
  </si>
  <si>
    <t>(a) Indicar as datas e razões da reversibilidade.</t>
  </si>
  <si>
    <t>(b) Indicar os passivos com os quais se relacionam as garantias</t>
  </si>
  <si>
    <t>4.7 Compromissos assumidos para aquisição de imobilizações corpóreas:</t>
  </si>
  <si>
    <t>Compromissos</t>
  </si>
  <si>
    <t>Totais assumidos</t>
  </si>
  <si>
    <t>Já concretizados</t>
  </si>
  <si>
    <t>Por concretizar</t>
  </si>
  <si>
    <t xml:space="preserve">Só se faz com a ajuda dum mapa auxiliar da   </t>
  </si>
  <si>
    <t>definição dos emprestimos assumidos</t>
  </si>
  <si>
    <t>ou desdobrando  o plano de contas da 33</t>
  </si>
  <si>
    <t>5.1 Composição:</t>
  </si>
  <si>
    <t>Trespasses</t>
  </si>
  <si>
    <t>121-1821</t>
  </si>
  <si>
    <t>Despesas de desenvolvimento (a)</t>
  </si>
  <si>
    <t>122-1822</t>
  </si>
  <si>
    <t>Propriedade industrial e outros direitos e contratos</t>
  </si>
  <si>
    <t>123-1823</t>
  </si>
  <si>
    <t>Despesas de constituição (b)</t>
  </si>
  <si>
    <t>124-1824</t>
  </si>
  <si>
    <t>Outras imobilizações incorpóreas</t>
  </si>
  <si>
    <t>129-1829</t>
  </si>
  <si>
    <t>(a) As despesas de desenvolvimento referem-se a: Descrever a natureza</t>
  </si>
  <si>
    <t>(b) AS despesas de constituição referem-se a: Descrever a natureza</t>
  </si>
  <si>
    <t>5.2 Movimentos, ocorridos durante o exercício, no valor bruto</t>
  </si>
  <si>
    <t>Diminuições</t>
  </si>
  <si>
    <t>Despesas de desenvolvimento</t>
  </si>
  <si>
    <t xml:space="preserve">Despesas de constituição </t>
  </si>
  <si>
    <t>5.3 Movimentos, ocorridos durante o exercício, nas amortizações acumuladas:</t>
  </si>
  <si>
    <t>6. Investimentos em subsidiários e associadas:</t>
  </si>
  <si>
    <t>6.1 Composição:</t>
  </si>
  <si>
    <t>Subsidiárias:</t>
  </si>
  <si>
    <t>Partes de capital (a)</t>
  </si>
  <si>
    <t>1311/1911</t>
  </si>
  <si>
    <t>Obrigações e outros títulos de participação</t>
  </si>
  <si>
    <t>1312/1912</t>
  </si>
  <si>
    <t>Empréstimos</t>
  </si>
  <si>
    <t>1313/1913</t>
  </si>
  <si>
    <t>Adiantamentos por conta</t>
  </si>
  <si>
    <t>Associadas:</t>
  </si>
  <si>
    <t>1321/1921</t>
  </si>
  <si>
    <t>1322/1922</t>
  </si>
  <si>
    <t>1323/1923</t>
  </si>
  <si>
    <t>(a) Partes de capital em subsidiárias</t>
  </si>
  <si>
    <t>(b) Partes de capital em associadas</t>
  </si>
  <si>
    <t>Subsidiárias</t>
  </si>
  <si>
    <t>Contas da subsidiária</t>
  </si>
  <si>
    <t>% de participação</t>
  </si>
  <si>
    <t>% de votos detidos</t>
  </si>
  <si>
    <t>Valores detidos</t>
  </si>
  <si>
    <t>Quantia bruta registada</t>
  </si>
  <si>
    <t>Capitais próprios</t>
  </si>
  <si>
    <t>Resultados do período</t>
  </si>
  <si>
    <t>Descrever, por subsidiária, os seguintes dados:</t>
  </si>
  <si>
    <t>Firma</t>
  </si>
  <si>
    <t>Forma Jurídica</t>
  </si>
  <si>
    <t>Sede</t>
  </si>
  <si>
    <t>Descrever, por associados, os seguintes dados:</t>
  </si>
  <si>
    <t>6.2 Movimentos, ocorridos durante o exercício, nas provisões:</t>
  </si>
  <si>
    <t>6.3 Restrições existentes:</t>
  </si>
  <si>
    <t>Penhoras e outras restrições</t>
  </si>
  <si>
    <t>Quantidade de títulos</t>
  </si>
  <si>
    <t>6.4 Contingências:</t>
  </si>
  <si>
    <t>Nas contas das subsidiárias</t>
  </si>
  <si>
    <t>Parcela da responsabilidade da empresa</t>
  </si>
  <si>
    <t>Contingências e compromisso de capital</t>
  </si>
  <si>
    <t>Contingências relacionadas com passivos</t>
  </si>
  <si>
    <t>7. Outros activos financeiros:</t>
  </si>
  <si>
    <t>7.1 Composição:</t>
  </si>
  <si>
    <t>Provisões</t>
  </si>
  <si>
    <t>Investimentos em outras empresas</t>
  </si>
  <si>
    <t>133/193</t>
  </si>
  <si>
    <t>Investimentos em imóveis</t>
  </si>
  <si>
    <t>134/183</t>
  </si>
  <si>
    <t>Fundos</t>
  </si>
  <si>
    <t>135/194</t>
  </si>
  <si>
    <t>Outros investimentos financeiros</t>
  </si>
  <si>
    <t>139/199</t>
  </si>
  <si>
    <t>7.2 Movimentos, ocorridos durante o exercício, nos investimentos em imóveis:</t>
  </si>
  <si>
    <t>Reduções</t>
  </si>
  <si>
    <t>Aquisições</t>
  </si>
  <si>
    <t>7.3 Movimentos, ocorridos durante o exercício, nas provisões:</t>
  </si>
  <si>
    <t>7.4 Restrições existentes:</t>
  </si>
  <si>
    <t>Valor líquido dos investimentos</t>
  </si>
  <si>
    <t>Implantados em propriedade alheia</t>
  </si>
  <si>
    <t>Localizados no estrangeiro</t>
  </si>
  <si>
    <t>Penhorados (b)</t>
  </si>
  <si>
    <t>Hipotecados (b)</t>
  </si>
  <si>
    <t>(b) Indicar os passivos com os quais se relacionam as garantias.</t>
  </si>
  <si>
    <t>Valor liquido</t>
  </si>
  <si>
    <t>(a) Indicar os passivos com os quais se relacionam as garantias</t>
  </si>
  <si>
    <t>8. Existências:</t>
  </si>
  <si>
    <t>8.1 Composição:</t>
  </si>
  <si>
    <t>Valor Bruto</t>
  </si>
  <si>
    <t>Provisões acumuladas</t>
  </si>
  <si>
    <t>Matérias-primas, subsidiárias e de consumo</t>
  </si>
  <si>
    <t>22/292</t>
  </si>
  <si>
    <t>Produtos e trabalhos em curso</t>
  </si>
  <si>
    <t>23/293</t>
  </si>
  <si>
    <t>Produtos acabados e intermédios</t>
  </si>
  <si>
    <t>24/294</t>
  </si>
  <si>
    <t>Subprodutos, desperdícios, resíduos e refugos</t>
  </si>
  <si>
    <t>25/295</t>
  </si>
  <si>
    <t>Mercadorias</t>
  </si>
  <si>
    <t>26/296</t>
  </si>
  <si>
    <t>Matérias-primas, mercadorias e matérias em trânsito</t>
  </si>
  <si>
    <t>27/297</t>
  </si>
  <si>
    <t>8.2 Movimentos, ocorridos durante o exercício, nas provisões:</t>
  </si>
  <si>
    <t>8.3 Restrições existentes:</t>
  </si>
  <si>
    <t>Penhores para garantia de passivos (valor líquido)</t>
  </si>
  <si>
    <t>8.4 Informações relativas a contratos plurianuais em curso:</t>
  </si>
  <si>
    <t>Valores</t>
  </si>
  <si>
    <t>Totais até à data</t>
  </si>
  <si>
    <t>Reconhecidos em resultados</t>
  </si>
  <si>
    <t>Por reconhecer (b)</t>
  </si>
  <si>
    <t>No exercício</t>
  </si>
  <si>
    <t>Custos dos contratos</t>
  </si>
  <si>
    <t>Facturado a clientes</t>
  </si>
  <si>
    <t>A facturar a a clientes (a)</t>
  </si>
  <si>
    <t>Prejuízos estimados</t>
  </si>
  <si>
    <t>(a) Considerados como outros activos correntes (ver nota 11) por se referir a trabalho executados que se encontra por facturar</t>
  </si>
  <si>
    <t>(b) Não foram reconhecidos em resultados por se referirem a:</t>
  </si>
  <si>
    <t>Custos incorridos que não respeitam a trabalho executado</t>
  </si>
  <si>
    <t>Facturação relativa a adiantamentos</t>
  </si>
  <si>
    <t>Facturação em excesso do trabalho executado</t>
  </si>
  <si>
    <t>Custos dos contractos</t>
  </si>
  <si>
    <t>Produtos e trabalhos em curso (Nota 8.1)</t>
  </si>
  <si>
    <t>Contas a pagar (Nota 19.1)</t>
  </si>
  <si>
    <t>Outros passivos correntes (Nota 21)</t>
  </si>
  <si>
    <t>9. Outros activos não correntes e contas a receber</t>
  </si>
  <si>
    <t>9.1 composição:</t>
  </si>
  <si>
    <t>Corrente</t>
  </si>
  <si>
    <t>Não corrente</t>
  </si>
  <si>
    <t>Vencível até 5 anos</t>
  </si>
  <si>
    <t>Vencível a mais de 5 anos</t>
  </si>
  <si>
    <t>Valor bruto:</t>
  </si>
  <si>
    <t>Clientes - Correntes</t>
  </si>
  <si>
    <t>Clientes - títulos a receber</t>
  </si>
  <si>
    <t>Clientes de cobrança duvidosa</t>
  </si>
  <si>
    <t>Fornecedores - saldos devedores</t>
  </si>
  <si>
    <t>Estado</t>
  </si>
  <si>
    <t>Participantes e participadas</t>
  </si>
  <si>
    <t>Pessoal</t>
  </si>
  <si>
    <t>Devedores - vendas de imobilizado</t>
  </si>
  <si>
    <t>Outros devedores</t>
  </si>
  <si>
    <t>Provisões para cobranças duvidosas</t>
  </si>
  <si>
    <t>9.2 Movimentos, ocorridos durante o exercício, nas provisões:</t>
  </si>
  <si>
    <t>Clientes -- títulos a receber</t>
  </si>
  <si>
    <t>Fornecedores -- saldos devedores</t>
  </si>
  <si>
    <t>Devedores -- vendas de imobilizado</t>
  </si>
  <si>
    <t>10. Disponibilidades:</t>
  </si>
  <si>
    <t>10.1 Composição:</t>
  </si>
  <si>
    <t>Títulos negociáveis</t>
  </si>
  <si>
    <t>Depósitos a prazo (curto prazo)</t>
  </si>
  <si>
    <t>Saldos em bancos</t>
  </si>
  <si>
    <t>42/43/44</t>
  </si>
  <si>
    <t>Caixa</t>
  </si>
  <si>
    <t>10.2 Movimentos, ocorridos durante o exercício, nas provisões:</t>
  </si>
  <si>
    <t>Provisões para títulos negociáveis</t>
  </si>
  <si>
    <t>Provisões para outras aplicações de tesouraria</t>
  </si>
  <si>
    <t>10.3 Restrições existentes:</t>
  </si>
  <si>
    <t>Outras restrições (valor líquido)</t>
  </si>
  <si>
    <t>11. Outros activos correntes:</t>
  </si>
  <si>
    <t>11.1 Composição:</t>
  </si>
  <si>
    <t>Contratos plurienais em curso (Nota 8.4)</t>
  </si>
  <si>
    <t>Encargos a repartir por exercícios futuros</t>
  </si>
  <si>
    <t>12. Capital</t>
  </si>
  <si>
    <t>12.1 Composição e movimento no período:</t>
  </si>
  <si>
    <t>Acções/quotas próprias</t>
  </si>
  <si>
    <t>Prémios de emissão</t>
  </si>
  <si>
    <t>Prestações suplementares</t>
  </si>
  <si>
    <t>12.2 Capital:</t>
  </si>
  <si>
    <t>Aumentos (a)(b)</t>
  </si>
  <si>
    <t>Saldo final (c)</t>
  </si>
  <si>
    <t>Sócios/accionistas com participação superior a 20%</t>
  </si>
  <si>
    <t>Indicar nome ou firma</t>
  </si>
  <si>
    <t>Outros sócios/accionistas</t>
  </si>
  <si>
    <t>(a) Aumentos de capital</t>
  </si>
  <si>
    <t xml:space="preserve"> Indicar a forma como se realizou o capital social</t>
  </si>
  <si>
    <t>(b) Capital subscrito e ainda não realizado</t>
  </si>
  <si>
    <t>Capital subscrito e não realizado</t>
  </si>
  <si>
    <t>35111/35121/35131/35141</t>
  </si>
  <si>
    <t>( c) Composição do capital após aumento, no caso da identidade se tratar de uma sociedade anónima</t>
  </si>
  <si>
    <t>12.3 Prestações suplementares:</t>
  </si>
  <si>
    <t>Indicar:</t>
  </si>
  <si>
    <t>Forma de constituição</t>
  </si>
  <si>
    <t>Restrições de utilização</t>
  </si>
  <si>
    <t>13. Reservas:</t>
  </si>
  <si>
    <t>13.1 - Composição</t>
  </si>
  <si>
    <t>Reserva legal (a)</t>
  </si>
  <si>
    <t>Reservas de reavaliação (b)</t>
  </si>
  <si>
    <t>Reservas com fins especiais ( c)</t>
  </si>
  <si>
    <t>Reservas livres</t>
  </si>
  <si>
    <t>14. Resultados transitados:</t>
  </si>
  <si>
    <t>14.1 composição</t>
  </si>
  <si>
    <t>Saldo inicial:</t>
  </si>
  <si>
    <t>Movimentos no período:</t>
  </si>
  <si>
    <t>Transferência dos resultados do exercício anterior</t>
  </si>
  <si>
    <t>Aplicação de resultados (a)</t>
  </si>
  <si>
    <t>Erros fundamentais (b)</t>
  </si>
  <si>
    <t>Alterações de políticas contabilistas (b)</t>
  </si>
  <si>
    <t>Efeito de impostos dos erros fundamentais e das alterações de políticas contabilísticas (b)</t>
  </si>
  <si>
    <t>Outros movimentos</t>
  </si>
  <si>
    <t xml:space="preserve">   discriminar</t>
  </si>
  <si>
    <t>15. Empréstimos correntes e não correntes:</t>
  </si>
  <si>
    <t>15.1 Composição</t>
  </si>
  <si>
    <t>Empréstimos bancários</t>
  </si>
  <si>
    <t>3311/3312</t>
  </si>
  <si>
    <t>Empréstimos por obrigações</t>
  </si>
  <si>
    <t>3321/3322</t>
  </si>
  <si>
    <t>Empréstimos por título de participação</t>
  </si>
  <si>
    <t>3331/3332</t>
  </si>
  <si>
    <t>Outros empréstimos</t>
  </si>
  <si>
    <t>3391/3392</t>
  </si>
  <si>
    <t>Taxas de juro</t>
  </si>
  <si>
    <t>Moeda estrangeira</t>
  </si>
  <si>
    <t>Valor na moeda local</t>
  </si>
  <si>
    <t xml:space="preserve">    Efectuar subdivisões por tipo de moeda estrangeira, se aplicável</t>
  </si>
  <si>
    <t xml:space="preserve">   Efectuar subdivisões por tipo de moeda estrangeira, se aplicável</t>
  </si>
  <si>
    <t>Discriminar</t>
  </si>
  <si>
    <t>17. Provisões para pensões</t>
  </si>
  <si>
    <t>17.1 movimentos, ocorridos durante o exercício, nestas provisões:</t>
  </si>
  <si>
    <t>18. Provisões para outros riscos e encargos:</t>
  </si>
  <si>
    <t>18.1 Movimentos, ocorridos durante o exercício, nestas provisões:</t>
  </si>
  <si>
    <t>Provisões para processo judiciais em curso</t>
  </si>
  <si>
    <t>Provisões para acidentes de trabalho</t>
  </si>
  <si>
    <t>Provisões para garantias dadas a clientes</t>
  </si>
  <si>
    <t xml:space="preserve">   Descrever a natureza</t>
  </si>
  <si>
    <t>19. Outros passivos não correntes e contas a pagar</t>
  </si>
  <si>
    <t>19.1 Composição:</t>
  </si>
  <si>
    <t>Fornecedores - Correntes</t>
  </si>
  <si>
    <t>Fornecedores - titulas a pagar</t>
  </si>
  <si>
    <t>Clientes - saldos credores</t>
  </si>
  <si>
    <t xml:space="preserve">    Adiantamentos de clientes</t>
  </si>
  <si>
    <t xml:space="preserve">    Outros</t>
  </si>
  <si>
    <t>3192/3193</t>
  </si>
  <si>
    <t>Estado (a)</t>
  </si>
  <si>
    <t>Credores - compras de imobilizado</t>
  </si>
  <si>
    <t>Outros credores</t>
  </si>
  <si>
    <t>(a) Esta rubrica tem a seguida composição</t>
  </si>
  <si>
    <t xml:space="preserve">  Adiantamentos</t>
  </si>
  <si>
    <t xml:space="preserve">  Retenções na fonte</t>
  </si>
  <si>
    <t xml:space="preserve">  Encargo do ano</t>
  </si>
  <si>
    <t>Imposto de produção e consumo</t>
  </si>
  <si>
    <t>Imposto de rendimento de trabalho</t>
  </si>
  <si>
    <t>Imposto de circulação</t>
  </si>
  <si>
    <t>Outros impostos</t>
  </si>
  <si>
    <t>20. Empréstimos de curto prazo</t>
  </si>
  <si>
    <t>20.1 Composição e movimentos no período</t>
  </si>
  <si>
    <t>20.2 Condições de financiamento</t>
  </si>
  <si>
    <t>21. Outros passivos correntes</t>
  </si>
  <si>
    <t>21.1 Composição</t>
  </si>
  <si>
    <t>Encargos a pagar</t>
  </si>
  <si>
    <t>Proveitos a repartir por exercícios futuros</t>
  </si>
  <si>
    <t>22. Vendas</t>
  </si>
  <si>
    <t>22.1 Composição das vendas por mercados</t>
  </si>
  <si>
    <t>Mercado interno</t>
  </si>
  <si>
    <t xml:space="preserve">   Vendas</t>
  </si>
  <si>
    <t>6111/6121/6131/6141/6171/6181</t>
  </si>
  <si>
    <t xml:space="preserve">   Subsídios a preços</t>
  </si>
  <si>
    <t>Mercado externo</t>
  </si>
  <si>
    <t>6112/6122/6132/6142</t>
  </si>
  <si>
    <t>23. Prestação de serviço:</t>
  </si>
  <si>
    <t>23.1 Composição das prestações de serviço por mercados</t>
  </si>
  <si>
    <t>6211/6221/6281</t>
  </si>
  <si>
    <t>6212/6222/6282</t>
  </si>
  <si>
    <t>23.2 Composição das prestações de serviço por actividades</t>
  </si>
  <si>
    <t>Serviços principais</t>
  </si>
  <si>
    <t xml:space="preserve">  Enumerar por tipo de actividade</t>
  </si>
  <si>
    <t>Serviços secundários</t>
  </si>
  <si>
    <t>24. Outros proveitos operacionais</t>
  </si>
  <si>
    <t>24.1 Composição</t>
  </si>
  <si>
    <t>Serviços suplementares</t>
  </si>
  <si>
    <t>Subsídios à exploração (a)</t>
  </si>
  <si>
    <t>Subsídios a investimentos (b)</t>
  </si>
  <si>
    <t>Outros proveitos e ganhos operacionais</t>
  </si>
  <si>
    <t>(a) Subsídios à exploração:</t>
  </si>
  <si>
    <t xml:space="preserve">      Indicar:</t>
  </si>
  <si>
    <t xml:space="preserve">              Natureza do subsidio</t>
  </si>
  <si>
    <t xml:space="preserve">              Condições não satisfeitas</t>
  </si>
  <si>
    <t xml:space="preserve">              Contingências decorrentes de condições não satisfeitas.</t>
  </si>
  <si>
    <t>(a) Subsídios a investimentos:</t>
  </si>
  <si>
    <t>25. Variação nos produtos acabados e em vias de fabrico:</t>
  </si>
  <si>
    <t>Existências iniciais</t>
  </si>
  <si>
    <t>Existências finais</t>
  </si>
  <si>
    <t>Variação  no ano</t>
  </si>
  <si>
    <t>Subprodutos, desperdício, resíduos e refugos</t>
  </si>
  <si>
    <t>26. Trabalhos para a própria empresa:</t>
  </si>
  <si>
    <t>Trabalhos para imobilizado</t>
  </si>
  <si>
    <t xml:space="preserve">   Corpóreo</t>
  </si>
  <si>
    <t xml:space="preserve">   Incorpóreo</t>
  </si>
  <si>
    <t xml:space="preserve">   Investimentos financeiros</t>
  </si>
  <si>
    <t>Trabalhos para existências</t>
  </si>
  <si>
    <t>Trabalhos para encargos a repartir por exercícios futuros</t>
  </si>
  <si>
    <t>27. Custos das existências vendidas e das matérias primas e subsidiárias consumidas</t>
  </si>
  <si>
    <t>Compras</t>
  </si>
  <si>
    <t>Ofertas e perdas ou ganhos</t>
  </si>
  <si>
    <t>Custo no ano</t>
  </si>
  <si>
    <t>22/211/2171/2181</t>
  </si>
  <si>
    <t>Materiais Diversos</t>
  </si>
  <si>
    <t>26/212/2172/2182</t>
  </si>
  <si>
    <t xml:space="preserve">Mercadorias </t>
  </si>
  <si>
    <t>28. Custos com o pessoal:</t>
  </si>
  <si>
    <t>Remunerações-Orgãos sociais</t>
  </si>
  <si>
    <t>Remunerações-Pessoal</t>
  </si>
  <si>
    <t>Seguros acidente trab. Doenç. Profissionais</t>
  </si>
  <si>
    <t>Assistência médica</t>
  </si>
  <si>
    <t>Indemnização por despedimento</t>
  </si>
  <si>
    <t>29. Amortizações</t>
  </si>
  <si>
    <t>Imobilizações corpóreas (Nota 4)</t>
  </si>
  <si>
    <t>Imobilizações incorpóreas  (Nota 5)</t>
  </si>
  <si>
    <t xml:space="preserve">30. Outros custos e perdas operacionais </t>
  </si>
  <si>
    <t>Subcontratos</t>
  </si>
  <si>
    <t xml:space="preserve">    Despesas de investigação</t>
  </si>
  <si>
    <t xml:space="preserve">    Despesas de desenvolvimento</t>
  </si>
  <si>
    <t xml:space="preserve">    Conservação e reparação</t>
  </si>
  <si>
    <t>752142/75226</t>
  </si>
  <si>
    <t xml:space="preserve">    Royalties</t>
  </si>
  <si>
    <t>Despesas confidenciais</t>
  </si>
  <si>
    <t>Quotizações</t>
  </si>
  <si>
    <t>Ofertas e amostras de existências</t>
  </si>
  <si>
    <t>Custos e perdas operacionais</t>
  </si>
  <si>
    <t>31. Resultados financeiros:</t>
  </si>
  <si>
    <t>Proveitos e ganhos financeiros</t>
  </si>
  <si>
    <t xml:space="preserve">    Juros</t>
  </si>
  <si>
    <t>Investimentos financeiros</t>
  </si>
  <si>
    <t>Outros</t>
  </si>
  <si>
    <t>Rendimentos de investimentos em imóveis</t>
  </si>
  <si>
    <t>Rendimentos de participações de capital</t>
  </si>
  <si>
    <t>Ganhos na alienação de participações financeiras</t>
  </si>
  <si>
    <t>Reposição de provisões)</t>
  </si>
  <si>
    <t>Investimentos em filiais e associadas (Nota 6)</t>
  </si>
  <si>
    <t>66711/66712</t>
  </si>
  <si>
    <t>Outros activos financeiros (nota 7)</t>
  </si>
  <si>
    <t>66713/66714/66719</t>
  </si>
  <si>
    <t>Disponibilidade (Nota 10)</t>
  </si>
  <si>
    <t>Diferenças de câmbio favoráveis</t>
  </si>
  <si>
    <t>Realizadas</t>
  </si>
  <si>
    <t>Não realizadas</t>
  </si>
  <si>
    <t>Descontos de pronto pagamento obtidos em imóveis</t>
  </si>
  <si>
    <t>Custos e perdas financeiros</t>
  </si>
  <si>
    <t>Juros</t>
  </si>
  <si>
    <t>Amortizações de investimentos em imóveis</t>
  </si>
  <si>
    <t>provisões para aplicações financeiras</t>
  </si>
  <si>
    <t>76511/76512</t>
  </si>
  <si>
    <t>Outros activos financeiros (Nota 7)</t>
  </si>
  <si>
    <t>76512/76514/76519</t>
  </si>
  <si>
    <t>Perdas na alienação de aplicações financeiras</t>
  </si>
  <si>
    <t>Diferenças de câmbio desfavoráveis</t>
  </si>
  <si>
    <t>32. Resultados de filiais e associadas:</t>
  </si>
  <si>
    <t>Dividendos</t>
  </si>
  <si>
    <t>Lucros</t>
  </si>
  <si>
    <t>Associadas</t>
  </si>
  <si>
    <t>33. Resultados não operacionais:</t>
  </si>
  <si>
    <t>Proveitos e ganhos não operacionais</t>
  </si>
  <si>
    <t>Reposição de provisões</t>
  </si>
  <si>
    <t>Existências (Nota 8)</t>
  </si>
  <si>
    <t>Cobranças duvidosas (Nota 9)</t>
  </si>
  <si>
    <t>Outros riscos e encargos (Nota 18)</t>
  </si>
  <si>
    <t>Anulação de amortizações extraordinárias</t>
  </si>
  <si>
    <t>Ganhos em imobilizações</t>
  </si>
  <si>
    <t>Ganhos em existências</t>
  </si>
  <si>
    <t>Recuperação de dívidas</t>
  </si>
  <si>
    <t>Benefícios de penalidades contratuais</t>
  </si>
  <si>
    <t>Descontinuidade de operações</t>
  </si>
  <si>
    <t>Alterações de politicas contabilísticas</t>
  </si>
  <si>
    <t>Correcções relativas a exercícios anteriores</t>
  </si>
  <si>
    <t>Custos e perdas não operacionais</t>
  </si>
  <si>
    <t>Amortizações extraordinárias</t>
  </si>
  <si>
    <t>Perdas em imobilizações</t>
  </si>
  <si>
    <t>Perdas em existências</t>
  </si>
  <si>
    <t>Dividas incobráveis</t>
  </si>
  <si>
    <t>Multas e penalidades contratuais</t>
  </si>
  <si>
    <t>Custos de reestruturação</t>
  </si>
  <si>
    <t>34. Resultados extraordinários</t>
  </si>
  <si>
    <t>Catástrofes naturais</t>
  </si>
  <si>
    <t>Convulsões políticas</t>
  </si>
  <si>
    <t>Expropriações</t>
  </si>
  <si>
    <t>Sinistros</t>
  </si>
  <si>
    <t>Subsídios (a)</t>
  </si>
  <si>
    <t>Anulação de passivos não exigíveis</t>
  </si>
  <si>
    <t>Custos e  perdas extraordinárias</t>
  </si>
  <si>
    <t>35. Imposto sobre o rendimento</t>
  </si>
  <si>
    <t>Resultado contabilístico</t>
  </si>
  <si>
    <t>Correcções para efeitos fiscais</t>
  </si>
  <si>
    <t>A somar: Variações patrimoniais positivas</t>
  </si>
  <si>
    <t>Custos e perdas não aceites para efeitos fiscais</t>
  </si>
  <si>
    <t>A deduzir: Variações patrimoniais negativas</t>
  </si>
  <si>
    <t>Proveitos e ganhos não tributáveis</t>
  </si>
  <si>
    <t>Prejuízos fiscais de anos anteriores</t>
  </si>
  <si>
    <t>Lucros levados a reservas e reinvestidos</t>
  </si>
  <si>
    <t>Lucro tributável (prejuízo fiscal)</t>
  </si>
  <si>
    <t>Taxa nominal de impostos</t>
  </si>
  <si>
    <t>Imposto sobre os lucros(a)</t>
  </si>
  <si>
    <t xml:space="preserve">Imposto industrial Lei 7/97 </t>
  </si>
  <si>
    <t>Provisórias</t>
  </si>
  <si>
    <t>Imposto a pagar</t>
  </si>
  <si>
    <t>36. Responsabilidades assumidas e não reflectidas no balanço:</t>
  </si>
  <si>
    <t>Garantias</t>
  </si>
  <si>
    <t>Avales</t>
  </si>
  <si>
    <t>Letras descontadas</t>
  </si>
  <si>
    <t>Outras</t>
  </si>
  <si>
    <t>Discriminar o tipo de garantias prestadas</t>
  </si>
  <si>
    <t>4 - Imobilização Corpórea</t>
  </si>
  <si>
    <t>5 - Imobilizado Incorpóreo</t>
  </si>
  <si>
    <t>6 - Invest. Subs. e Associadas</t>
  </si>
  <si>
    <t>7 - Outros Activos Financeiros</t>
  </si>
  <si>
    <t>8 - Existências</t>
  </si>
  <si>
    <t>9 - Out. Act não C. e C. a Rec.</t>
  </si>
  <si>
    <t>10 - Disponibilidades</t>
  </si>
  <si>
    <t>11 - Outros Activos Correntes</t>
  </si>
  <si>
    <t>12 - Capital</t>
  </si>
  <si>
    <t>13 - Reservas</t>
  </si>
  <si>
    <t>14 - Resultados Transitados</t>
  </si>
  <si>
    <t>15 - Emp. Corr. não Correntes.</t>
  </si>
  <si>
    <t>16 - Impostos Diferidos</t>
  </si>
  <si>
    <t>17 - Provisões para Pensões</t>
  </si>
  <si>
    <t>18 - Prov. Out. Riscos e Enc.</t>
  </si>
  <si>
    <t>19 -Outros Act. não C. e C. P.</t>
  </si>
  <si>
    <t>20 - Empréstimos de Curto Prazo</t>
  </si>
  <si>
    <t>21 - Outros Passivos Correntes</t>
  </si>
  <si>
    <t>22 - Vendas</t>
  </si>
  <si>
    <t>23 - Prestação de Serviço</t>
  </si>
  <si>
    <t>24 - Outros Proveitos Op.</t>
  </si>
  <si>
    <t>25 - Var. nos Prod. Ac. Vias F.</t>
  </si>
  <si>
    <t>26 - Trab. para Própria Emp.</t>
  </si>
  <si>
    <t>27. Custos das Existências Vendidas e das Mat. Primas e Sub. Cons.</t>
  </si>
  <si>
    <t>28 - Custo com o Pessoal</t>
  </si>
  <si>
    <t>29 - Amortizações</t>
  </si>
  <si>
    <t>30 - Outros Custos e Perdas Op.</t>
  </si>
  <si>
    <t>31 - Resultados Financeiros</t>
  </si>
  <si>
    <t>32 - Res. de Filiais Associadas</t>
  </si>
  <si>
    <t>33 -Resultados não Operacionais</t>
  </si>
  <si>
    <t>34 - Resultados Extraordinarios</t>
  </si>
  <si>
    <t>35 - Imposto Sobre o Rendimento</t>
  </si>
  <si>
    <t>36. Responsabilidades Assumidas e não Reflectidas no Balanço</t>
  </si>
  <si>
    <t>Extras</t>
  </si>
  <si>
    <r>
      <t xml:space="preserve">MAPAS FINANCEIROS - </t>
    </r>
    <r>
      <rPr>
        <sz val="36"/>
        <color theme="6" tint="-0.499984740745262"/>
        <rFont val="Arial"/>
        <family val="2"/>
      </rPr>
      <t>CURSO</t>
    </r>
  </si>
  <si>
    <t xml:space="preserve">db377 </t>
  </si>
  <si>
    <t>db3791</t>
  </si>
  <si>
    <t>db3792</t>
  </si>
  <si>
    <t>db34</t>
  </si>
  <si>
    <t>db35</t>
  </si>
  <si>
    <t>db36</t>
  </si>
  <si>
    <t xml:space="preserve">                         Gerência</t>
  </si>
  <si>
    <t xml:space="preserve">               Técnico Oficial de Contas</t>
  </si>
  <si>
    <t>EDSON FERREIRA</t>
  </si>
  <si>
    <t>EDSON</t>
  </si>
  <si>
    <t>DEMONSTRAÇÃO DE RESULTADOS - 2018</t>
  </si>
  <si>
    <t>PRIBEM</t>
  </si>
  <si>
    <t xml:space="preserve">     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</si>
</sst>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#,##0.00\ _€"/>
    <numFmt numFmtId="166" formatCode="#,##0.00\ _€;[Red]#,##0.00\ _€"/>
  </numFmts>
  <fonts count="45" x14ac:knownFonts="1">
    <font>
      <sz val="10"/>
      <name val="Arial"/>
    </font>
    <font>
      <u/>
      <sz val="10"/>
      <color indexed="12"/>
      <name val="Arial"/>
      <family val="2"/>
    </font>
    <font>
      <sz val="8"/>
      <name val="Verdana"/>
      <family val="2"/>
    </font>
    <font>
      <b/>
      <sz val="8"/>
      <name val="Verdana"/>
      <family val="2"/>
    </font>
    <font>
      <b/>
      <i/>
      <sz val="8"/>
      <name val="Verdana"/>
      <family val="2"/>
    </font>
    <font>
      <sz val="9"/>
      <name val="Verdana"/>
      <family val="2"/>
    </font>
    <font>
      <sz val="9"/>
      <name val="Arial"/>
      <family val="2"/>
    </font>
    <font>
      <sz val="9"/>
      <color indexed="23"/>
      <name val="Verdana"/>
      <family val="2"/>
    </font>
    <font>
      <u/>
      <sz val="10"/>
      <color indexed="23"/>
      <name val="Arial"/>
      <family val="2"/>
    </font>
    <font>
      <sz val="9"/>
      <color indexed="9"/>
      <name val="Verdana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b/>
      <sz val="14"/>
      <name val="Verdana"/>
      <family val="2"/>
    </font>
    <font>
      <b/>
      <sz val="16"/>
      <name val="Verdana"/>
      <family val="2"/>
    </font>
    <font>
      <sz val="18"/>
      <name val="Verdana"/>
      <family val="2"/>
    </font>
    <font>
      <sz val="8"/>
      <color indexed="18"/>
      <name val="Tahoma"/>
      <family val="2"/>
    </font>
    <font>
      <sz val="8"/>
      <color indexed="16"/>
      <name val="Tahoma"/>
      <family val="2"/>
    </font>
    <font>
      <sz val="8"/>
      <color rgb="FFFF0000"/>
      <name val="Tahoma"/>
      <family val="2"/>
    </font>
    <font>
      <sz val="8"/>
      <color indexed="16"/>
      <name val="Tahoma"/>
      <family val="2"/>
    </font>
    <font>
      <sz val="12"/>
      <name val="Verdana"/>
      <family val="2"/>
    </font>
    <font>
      <sz val="8"/>
      <name val="Trebuchet MS"/>
      <family val="2"/>
    </font>
    <font>
      <b/>
      <sz val="8"/>
      <name val="Trebuchet MS"/>
      <family val="2"/>
    </font>
    <font>
      <b/>
      <i/>
      <sz val="8"/>
      <name val="Trebuchet MS"/>
      <family val="2"/>
    </font>
    <font>
      <sz val="8"/>
      <name val="Tahoma"/>
      <family val="2"/>
    </font>
    <font>
      <b/>
      <sz val="12"/>
      <name val="Trebuchet MS"/>
      <family val="2"/>
    </font>
    <font>
      <sz val="12"/>
      <name val="Trebuchet MS"/>
      <family val="2"/>
    </font>
    <font>
      <i/>
      <sz val="8"/>
      <name val="Verdan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8"/>
      <name val="Trebuchet MS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36"/>
      <color rgb="FFC00000"/>
      <name val="Arial"/>
      <family val="2"/>
    </font>
    <font>
      <sz val="36"/>
      <color theme="6" tint="-0.499984740745262"/>
      <name val="Arial"/>
      <family val="2"/>
    </font>
    <font>
      <sz val="10"/>
      <color rgb="FF7030A0"/>
      <name val="Arial"/>
      <family val="2"/>
    </font>
    <font>
      <u/>
      <sz val="10"/>
      <color rgb="FF7030A0"/>
      <name val="Arial"/>
      <family val="2"/>
    </font>
    <font>
      <sz val="10"/>
      <name val="Trebuchet MS"/>
      <family val="2"/>
    </font>
    <font>
      <b/>
      <sz val="1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9"/>
      </right>
      <top style="medium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9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/>
      <top style="medium">
        <color indexed="9"/>
      </top>
      <bottom/>
      <diagonal/>
    </border>
    <border>
      <left/>
      <right/>
      <top style="medium">
        <color indexed="9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9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9"/>
      </bottom>
      <diagonal/>
    </border>
    <border>
      <left style="medium">
        <color indexed="64"/>
      </left>
      <right style="medium">
        <color indexed="9"/>
      </right>
      <top/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64"/>
      </right>
      <top style="medium">
        <color indexed="9"/>
      </top>
      <bottom style="medium">
        <color indexed="9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64"/>
      </bottom>
      <diagonal/>
    </border>
    <border>
      <left/>
      <right style="medium">
        <color indexed="9"/>
      </right>
      <top style="medium">
        <color indexed="9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indexed="64"/>
      </bottom>
      <diagonal/>
    </border>
    <border>
      <left style="thin">
        <color theme="0"/>
      </left>
      <right/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 style="hair">
        <color indexed="64"/>
      </top>
      <bottom/>
      <diagonal/>
    </border>
    <border>
      <left style="medium">
        <color indexed="64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theme="1"/>
      </top>
      <bottom style="thin">
        <color indexed="9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indexed="9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theme="1"/>
      </top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9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theme="1"/>
      </right>
      <top/>
      <bottom style="thin">
        <color indexed="9"/>
      </bottom>
      <diagonal/>
    </border>
    <border>
      <left/>
      <right style="thin">
        <color indexed="64"/>
      </right>
      <top style="thin">
        <color theme="1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theme="1"/>
      </top>
      <bottom style="thin">
        <color indexed="9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9"/>
      </right>
      <top style="thin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auto="1"/>
      </top>
      <bottom/>
      <diagonal/>
    </border>
    <border>
      <left style="thin">
        <color indexed="9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9"/>
      </right>
      <top/>
      <bottom/>
      <diagonal/>
    </border>
    <border>
      <left style="thin">
        <color indexed="9"/>
      </left>
      <right style="thin">
        <color auto="1"/>
      </right>
      <top/>
      <bottom/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auto="1"/>
      </right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0" fillId="0" borderId="0" applyAlignment="0">
      <alignment vertical="top" wrapText="1"/>
      <protection locked="0"/>
    </xf>
    <xf numFmtId="164" fontId="30" fillId="0" borderId="0" applyFont="0" applyFill="0" applyBorder="0" applyAlignment="0" applyProtection="0">
      <alignment vertical="top" wrapText="1"/>
      <protection locked="0"/>
    </xf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2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5" fillId="0" borderId="0" xfId="0" applyFont="1"/>
    <xf numFmtId="0" fontId="5" fillId="0" borderId="0" xfId="0" applyFont="1" applyFill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1" fillId="0" borderId="0" xfId="1" applyFill="1" applyAlignment="1" applyProtection="1">
      <alignment horizontal="left"/>
    </xf>
    <xf numFmtId="0" fontId="5" fillId="0" borderId="0" xfId="0" applyFont="1" applyAlignment="1">
      <alignment horizontal="center"/>
    </xf>
    <xf numFmtId="0" fontId="8" fillId="0" borderId="0" xfId="1" applyFont="1" applyFill="1" applyAlignment="1" applyProtection="1">
      <alignment horizontal="center"/>
    </xf>
    <xf numFmtId="0" fontId="7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1" fillId="3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4" fontId="12" fillId="4" borderId="11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4" fontId="13" fillId="3" borderId="14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left" vertical="center"/>
    </xf>
    <xf numFmtId="0" fontId="13" fillId="0" borderId="15" xfId="0" applyFont="1" applyBorder="1" applyAlignment="1">
      <alignment vertical="center"/>
    </xf>
    <xf numFmtId="0" fontId="14" fillId="0" borderId="16" xfId="0" applyFont="1" applyBorder="1" applyAlignment="1">
      <alignment horizontal="right" vertical="center"/>
    </xf>
    <xf numFmtId="4" fontId="13" fillId="0" borderId="17" xfId="0" applyNumberFormat="1" applyFont="1" applyBorder="1" applyAlignment="1">
      <alignment vertical="center"/>
    </xf>
    <xf numFmtId="0" fontId="0" fillId="3" borderId="12" xfId="0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6" fillId="0" borderId="19" xfId="0" applyFont="1" applyBorder="1" applyAlignment="1">
      <alignment horizontal="right" vertical="center"/>
    </xf>
    <xf numFmtId="4" fontId="0" fillId="0" borderId="20" xfId="0" applyNumberFormat="1" applyBorder="1" applyAlignment="1">
      <alignment vertical="center"/>
    </xf>
    <xf numFmtId="0" fontId="0" fillId="3" borderId="12" xfId="0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vertical="center"/>
    </xf>
    <xf numFmtId="0" fontId="14" fillId="3" borderId="13" xfId="0" applyFont="1" applyFill="1" applyBorder="1" applyAlignment="1">
      <alignment horizontal="center" vertical="center" wrapText="1"/>
    </xf>
    <xf numFmtId="4" fontId="13" fillId="3" borderId="14" xfId="0" applyNumberFormat="1" applyFont="1" applyFill="1" applyBorder="1" applyAlignment="1">
      <alignment vertical="center" wrapText="1"/>
    </xf>
    <xf numFmtId="0" fontId="0" fillId="0" borderId="15" xfId="0" applyBorder="1" applyAlignment="1">
      <alignment vertical="center"/>
    </xf>
    <xf numFmtId="4" fontId="13" fillId="3" borderId="14" xfId="0" applyNumberFormat="1" applyFont="1" applyFill="1" applyBorder="1" applyAlignment="1">
      <alignment vertical="center"/>
    </xf>
    <xf numFmtId="0" fontId="14" fillId="0" borderId="19" xfId="0" applyFont="1" applyBorder="1" applyAlignment="1">
      <alignment horizontal="right" vertical="center"/>
    </xf>
    <xf numFmtId="4" fontId="13" fillId="0" borderId="20" xfId="0" applyNumberFormat="1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165" fontId="0" fillId="0" borderId="0" xfId="0" applyNumberFormat="1"/>
    <xf numFmtId="0" fontId="0" fillId="0" borderId="19" xfId="0" applyBorder="1" applyAlignment="1">
      <alignment horizontal="right" vertical="center"/>
    </xf>
    <xf numFmtId="0" fontId="15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vertical="center"/>
    </xf>
    <xf numFmtId="0" fontId="13" fillId="3" borderId="23" xfId="0" applyFont="1" applyFill="1" applyBorder="1" applyAlignment="1">
      <alignment horizontal="center" vertical="center" wrapText="1"/>
    </xf>
    <xf numFmtId="4" fontId="13" fillId="3" borderId="24" xfId="0" applyNumberFormat="1" applyFont="1" applyFill="1" applyBorder="1" applyAlignment="1">
      <alignment vertical="center"/>
    </xf>
    <xf numFmtId="0" fontId="13" fillId="3" borderId="25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0" fillId="0" borderId="0" xfId="0" applyBorder="1" applyAlignment="1">
      <alignment horizontal="right" vertical="center"/>
    </xf>
    <xf numFmtId="4" fontId="0" fillId="0" borderId="26" xfId="0" applyNumberFormat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3" fillId="3" borderId="27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right" vertical="center" wrapText="1"/>
    </xf>
    <xf numFmtId="0" fontId="13" fillId="3" borderId="29" xfId="0" applyFont="1" applyFill="1" applyBorder="1" applyAlignment="1">
      <alignment horizontal="center" vertical="center" textRotation="90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horizontal="right" vertical="center"/>
    </xf>
    <xf numFmtId="4" fontId="0" fillId="0" borderId="32" xfId="0" applyNumberFormat="1" applyBorder="1" applyAlignment="1">
      <alignment vertical="center"/>
    </xf>
    <xf numFmtId="0" fontId="13" fillId="3" borderId="33" xfId="0" applyFont="1" applyFill="1" applyBorder="1" applyAlignment="1">
      <alignment horizontal="center" vertical="center" textRotation="90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right" vertical="center"/>
    </xf>
    <xf numFmtId="0" fontId="0" fillId="0" borderId="35" xfId="0" applyBorder="1" applyAlignment="1">
      <alignment vertical="center"/>
    </xf>
    <xf numFmtId="0" fontId="0" fillId="0" borderId="35" xfId="0" applyBorder="1" applyAlignment="1">
      <alignment horizontal="right" vertical="center"/>
    </xf>
    <xf numFmtId="4" fontId="0" fillId="0" borderId="36" xfId="0" applyNumberFormat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28" xfId="0" applyFill="1" applyBorder="1" applyAlignment="1">
      <alignment horizontal="right" vertical="center"/>
    </xf>
    <xf numFmtId="4" fontId="10" fillId="3" borderId="14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4" fontId="0" fillId="0" borderId="37" xfId="0" applyNumberFormat="1" applyBorder="1" applyAlignment="1">
      <alignment vertical="center"/>
    </xf>
    <xf numFmtId="0" fontId="13" fillId="3" borderId="38" xfId="0" applyFont="1" applyFill="1" applyBorder="1" applyAlignment="1">
      <alignment horizontal="center" vertical="center" textRotation="90"/>
    </xf>
    <xf numFmtId="0" fontId="13" fillId="3" borderId="12" xfId="0" applyFont="1" applyFill="1" applyBorder="1" applyAlignment="1">
      <alignment vertical="center"/>
    </xf>
    <xf numFmtId="0" fontId="13" fillId="3" borderId="27" xfId="0" applyFont="1" applyFill="1" applyBorder="1" applyAlignment="1">
      <alignment vertical="center"/>
    </xf>
    <xf numFmtId="0" fontId="11" fillId="3" borderId="39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4" fontId="12" fillId="5" borderId="26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4" fontId="0" fillId="0" borderId="17" xfId="0" applyNumberFormat="1" applyBorder="1" applyAlignment="1">
      <alignment vertical="center"/>
    </xf>
    <xf numFmtId="0" fontId="0" fillId="3" borderId="27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4" fontId="0" fillId="3" borderId="41" xfId="0" applyNumberFormat="1" applyFill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1" fillId="3" borderId="12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4" fontId="12" fillId="5" borderId="41" xfId="0" applyNumberFormat="1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vertical="center"/>
    </xf>
    <xf numFmtId="4" fontId="0" fillId="3" borderId="14" xfId="0" applyNumberFormat="1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4" fontId="16" fillId="6" borderId="24" xfId="0" applyNumberFormat="1" applyFont="1" applyFill="1" applyBorder="1" applyAlignment="1">
      <alignment vertical="center"/>
    </xf>
    <xf numFmtId="4" fontId="16" fillId="6" borderId="24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17" fillId="8" borderId="49" xfId="0" applyFont="1" applyFill="1" applyBorder="1" applyAlignment="1">
      <alignment horizontal="center" vertical="center"/>
    </xf>
    <xf numFmtId="0" fontId="0" fillId="8" borderId="50" xfId="0" applyFill="1" applyBorder="1"/>
    <xf numFmtId="0" fontId="15" fillId="8" borderId="51" xfId="0" applyFont="1" applyFill="1" applyBorder="1" applyAlignment="1">
      <alignment horizontal="center"/>
    </xf>
    <xf numFmtId="4" fontId="15" fillId="8" borderId="52" xfId="0" applyNumberFormat="1" applyFont="1" applyFill="1" applyBorder="1" applyAlignment="1">
      <alignment horizontal="center"/>
    </xf>
    <xf numFmtId="0" fontId="15" fillId="8" borderId="53" xfId="0" applyFont="1" applyFill="1" applyBorder="1" applyAlignment="1">
      <alignment horizontal="center"/>
    </xf>
    <xf numFmtId="4" fontId="15" fillId="8" borderId="26" xfId="0" applyNumberFormat="1" applyFont="1" applyFill="1" applyBorder="1" applyAlignment="1">
      <alignment horizontal="center"/>
    </xf>
    <xf numFmtId="0" fontId="0" fillId="0" borderId="54" xfId="0" applyBorder="1"/>
    <xf numFmtId="0" fontId="0" fillId="0" borderId="31" xfId="0" applyBorder="1" applyAlignment="1">
      <alignment horizontal="right"/>
    </xf>
    <xf numFmtId="0" fontId="0" fillId="0" borderId="55" xfId="0" applyBorder="1"/>
    <xf numFmtId="0" fontId="0" fillId="0" borderId="34" xfId="0" applyBorder="1" applyAlignment="1">
      <alignment horizontal="right"/>
    </xf>
    <xf numFmtId="0" fontId="0" fillId="0" borderId="56" xfId="0" applyBorder="1"/>
    <xf numFmtId="0" fontId="0" fillId="0" borderId="35" xfId="0" applyBorder="1"/>
    <xf numFmtId="4" fontId="0" fillId="0" borderId="42" xfId="0" applyNumberFormat="1" applyBorder="1"/>
    <xf numFmtId="0" fontId="0" fillId="8" borderId="57" xfId="0" applyFill="1" applyBorder="1"/>
    <xf numFmtId="0" fontId="15" fillId="8" borderId="58" xfId="0" applyFont="1" applyFill="1" applyBorder="1"/>
    <xf numFmtId="0" fontId="0" fillId="8" borderId="59" xfId="0" applyFill="1" applyBorder="1"/>
    <xf numFmtId="4" fontId="0" fillId="8" borderId="60" xfId="0" applyNumberFormat="1" applyFill="1" applyBorder="1"/>
    <xf numFmtId="0" fontId="17" fillId="8" borderId="57" xfId="0" applyFont="1" applyFill="1" applyBorder="1" applyAlignment="1">
      <alignment horizontal="center" vertical="center"/>
    </xf>
    <xf numFmtId="0" fontId="10" fillId="0" borderId="54" xfId="0" applyFont="1" applyBorder="1"/>
    <xf numFmtId="0" fontId="10" fillId="0" borderId="31" xfId="0" applyFont="1" applyBorder="1" applyAlignment="1">
      <alignment horizontal="right"/>
    </xf>
    <xf numFmtId="0" fontId="10" fillId="0" borderId="55" xfId="0" applyFont="1" applyBorder="1"/>
    <xf numFmtId="0" fontId="10" fillId="0" borderId="34" xfId="0" applyFont="1" applyBorder="1" applyAlignment="1">
      <alignment horizontal="right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left"/>
    </xf>
    <xf numFmtId="0" fontId="10" fillId="0" borderId="56" xfId="0" applyFont="1" applyBorder="1"/>
    <xf numFmtId="0" fontId="10" fillId="0" borderId="35" xfId="0" applyFont="1" applyBorder="1" applyAlignment="1">
      <alignment horizontal="right"/>
    </xf>
    <xf numFmtId="0" fontId="0" fillId="8" borderId="61" xfId="0" applyFill="1" applyBorder="1"/>
    <xf numFmtId="0" fontId="15" fillId="9" borderId="62" xfId="0" applyFont="1" applyFill="1" applyBorder="1"/>
    <xf numFmtId="0" fontId="0" fillId="9" borderId="51" xfId="0" applyFill="1" applyBorder="1"/>
    <xf numFmtId="4" fontId="0" fillId="9" borderId="52" xfId="0" applyNumberFormat="1" applyFill="1" applyBorder="1"/>
    <xf numFmtId="0" fontId="0" fillId="8" borderId="63" xfId="0" applyFill="1" applyBorder="1"/>
    <xf numFmtId="0" fontId="15" fillId="9" borderId="64" xfId="0" applyFont="1" applyFill="1" applyBorder="1"/>
    <xf numFmtId="0" fontId="0" fillId="9" borderId="65" xfId="0" applyFill="1" applyBorder="1"/>
    <xf numFmtId="4" fontId="13" fillId="9" borderId="66" xfId="0" applyNumberFormat="1" applyFont="1" applyFill="1" applyBorder="1"/>
    <xf numFmtId="4" fontId="13" fillId="3" borderId="43" xfId="0" applyNumberFormat="1" applyFont="1" applyFill="1" applyBorder="1" applyAlignment="1">
      <alignment vertical="center"/>
    </xf>
    <xf numFmtId="4" fontId="2" fillId="0" borderId="0" xfId="0" applyNumberFormat="1" applyFont="1"/>
    <xf numFmtId="0" fontId="19" fillId="0" borderId="0" xfId="0" applyFont="1"/>
    <xf numFmtId="17" fontId="2" fillId="0" borderId="0" xfId="0" applyNumberFormat="1" applyFont="1"/>
    <xf numFmtId="0" fontId="21" fillId="0" borderId="0" xfId="0" applyFont="1"/>
    <xf numFmtId="4" fontId="23" fillId="0" borderId="0" xfId="0" applyNumberFormat="1" applyFont="1" applyAlignment="1" applyProtection="1">
      <alignment horizontal="right" vertical="top"/>
    </xf>
    <xf numFmtId="4" fontId="24" fillId="0" borderId="0" xfId="0" applyNumberFormat="1" applyFont="1" applyAlignment="1" applyProtection="1">
      <alignment horizontal="right" vertical="top"/>
    </xf>
    <xf numFmtId="165" fontId="24" fillId="0" borderId="0" xfId="0" applyNumberFormat="1" applyFont="1" applyAlignment="1" applyProtection="1">
      <alignment horizontal="right" vertical="top"/>
    </xf>
    <xf numFmtId="4" fontId="25" fillId="0" borderId="0" xfId="0" applyNumberFormat="1" applyFont="1" applyAlignment="1" applyProtection="1">
      <alignment horizontal="right" vertical="top"/>
    </xf>
    <xf numFmtId="165" fontId="2" fillId="0" borderId="0" xfId="0" applyNumberFormat="1" applyFont="1"/>
    <xf numFmtId="4" fontId="2" fillId="0" borderId="0" xfId="0" applyNumberFormat="1" applyFont="1" applyBorder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165" fontId="2" fillId="0" borderId="0" xfId="0" applyNumberFormat="1" applyFont="1" applyBorder="1"/>
    <xf numFmtId="0" fontId="0" fillId="0" borderId="73" xfId="0" applyBorder="1"/>
    <xf numFmtId="0" fontId="2" fillId="0" borderId="73" xfId="0" applyFont="1" applyBorder="1"/>
    <xf numFmtId="165" fontId="22" fillId="11" borderId="73" xfId="0" applyNumberFormat="1" applyFont="1" applyFill="1" applyBorder="1" applyAlignment="1" applyProtection="1">
      <alignment horizontal="right" vertical="top"/>
    </xf>
    <xf numFmtId="0" fontId="0" fillId="0" borderId="74" xfId="0" applyBorder="1"/>
    <xf numFmtId="0" fontId="2" fillId="0" borderId="74" xfId="0" applyFont="1" applyBorder="1"/>
    <xf numFmtId="165" fontId="22" fillId="11" borderId="74" xfId="0" applyNumberFormat="1" applyFont="1" applyFill="1" applyBorder="1" applyAlignment="1" applyProtection="1">
      <alignment horizontal="right" vertical="top"/>
    </xf>
    <xf numFmtId="165" fontId="2" fillId="0" borderId="74" xfId="0" applyNumberFormat="1" applyFont="1" applyFill="1" applyBorder="1" applyAlignment="1">
      <alignment horizontal="right"/>
    </xf>
    <xf numFmtId="165" fontId="23" fillId="11" borderId="74" xfId="0" applyNumberFormat="1" applyFont="1" applyFill="1" applyBorder="1" applyAlignment="1" applyProtection="1">
      <alignment horizontal="right" vertical="top"/>
    </xf>
    <xf numFmtId="0" fontId="3" fillId="0" borderId="74" xfId="0" applyFont="1" applyBorder="1"/>
    <xf numFmtId="165" fontId="2" fillId="0" borderId="74" xfId="0" applyNumberFormat="1" applyFont="1" applyBorder="1" applyAlignment="1">
      <alignment horizontal="right"/>
    </xf>
    <xf numFmtId="165" fontId="2" fillId="11" borderId="74" xfId="0" applyNumberFormat="1" applyFont="1" applyFill="1" applyBorder="1" applyAlignment="1">
      <alignment horizontal="right"/>
    </xf>
    <xf numFmtId="0" fontId="2" fillId="0" borderId="74" xfId="0" applyFont="1" applyBorder="1" applyAlignment="1">
      <alignment horizontal="right"/>
    </xf>
    <xf numFmtId="165" fontId="2" fillId="12" borderId="74" xfId="0" applyNumberFormat="1" applyFont="1" applyFill="1" applyBorder="1" applyAlignment="1">
      <alignment horizontal="right"/>
    </xf>
    <xf numFmtId="165" fontId="0" fillId="12" borderId="74" xfId="0" applyNumberFormat="1" applyFill="1" applyBorder="1" applyAlignment="1" applyProtection="1">
      <alignment horizontal="right" vertical="top"/>
    </xf>
    <xf numFmtId="0" fontId="0" fillId="0" borderId="75" xfId="0" applyBorder="1"/>
    <xf numFmtId="0" fontId="2" fillId="0" borderId="75" xfId="0" applyFont="1" applyBorder="1"/>
    <xf numFmtId="165" fontId="2" fillId="12" borderId="75" xfId="0" applyNumberFormat="1" applyFont="1" applyFill="1" applyBorder="1" applyAlignment="1">
      <alignment horizontal="right"/>
    </xf>
    <xf numFmtId="4" fontId="0" fillId="11" borderId="0" xfId="0" applyNumberFormat="1" applyFill="1" applyAlignment="1" applyProtection="1">
      <alignment horizontal="right" vertical="top"/>
    </xf>
    <xf numFmtId="0" fontId="20" fillId="0" borderId="0" xfId="0" applyFont="1" applyAlignment="1">
      <alignment horizontal="center"/>
    </xf>
    <xf numFmtId="4" fontId="2" fillId="0" borderId="0" xfId="0" applyNumberFormat="1" applyFont="1" applyBorder="1" applyAlignment="1">
      <alignment horizontal="right"/>
    </xf>
    <xf numFmtId="4" fontId="2" fillId="0" borderId="0" xfId="0" quotePrefix="1" applyNumberFormat="1" applyFont="1" applyBorder="1" applyAlignment="1">
      <alignment horizontal="right"/>
    </xf>
    <xf numFmtId="0" fontId="2" fillId="13" borderId="0" xfId="0" applyFont="1" applyFill="1" applyBorder="1" applyAlignment="1">
      <alignment horizontal="center" vertical="center" wrapText="1"/>
    </xf>
    <xf numFmtId="164" fontId="2" fillId="0" borderId="0" xfId="0" applyNumberFormat="1" applyFont="1" applyBorder="1"/>
    <xf numFmtId="4" fontId="3" fillId="0" borderId="0" xfId="0" applyNumberFormat="1" applyFont="1" applyBorder="1" applyAlignment="1">
      <alignment horizontal="right"/>
    </xf>
    <xf numFmtId="0" fontId="26" fillId="0" borderId="0" xfId="0" applyFont="1"/>
    <xf numFmtId="0" fontId="27" fillId="2" borderId="82" xfId="0" applyFont="1" applyFill="1" applyBorder="1" applyAlignment="1">
      <alignment horizontal="center" vertical="center"/>
    </xf>
    <xf numFmtId="0" fontId="27" fillId="0" borderId="2" xfId="0" applyFont="1" applyBorder="1"/>
    <xf numFmtId="0" fontId="27" fillId="0" borderId="1" xfId="0" applyFont="1" applyBorder="1" applyAlignment="1">
      <alignment horizontal="center"/>
    </xf>
    <xf numFmtId="4" fontId="27" fillId="0" borderId="1" xfId="0" applyNumberFormat="1" applyFont="1" applyBorder="1" applyAlignment="1">
      <alignment horizontal="right"/>
    </xf>
    <xf numFmtId="4" fontId="27" fillId="0" borderId="5" xfId="0" applyNumberFormat="1" applyFont="1" applyBorder="1" applyAlignment="1">
      <alignment horizontal="right"/>
    </xf>
    <xf numFmtId="4" fontId="27" fillId="0" borderId="3" xfId="0" applyNumberFormat="1" applyFont="1" applyBorder="1" applyAlignment="1">
      <alignment horizontal="right"/>
    </xf>
    <xf numFmtId="0" fontId="28" fillId="0" borderId="1" xfId="0" applyFont="1" applyBorder="1" applyAlignment="1">
      <alignment horizontal="center"/>
    </xf>
    <xf numFmtId="0" fontId="28" fillId="0" borderId="8" xfId="0" applyFont="1" applyBorder="1"/>
    <xf numFmtId="0" fontId="27" fillId="0" borderId="3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4" fontId="28" fillId="0" borderId="6" xfId="0" applyNumberFormat="1" applyFont="1" applyBorder="1" applyAlignment="1">
      <alignment horizontal="right"/>
    </xf>
    <xf numFmtId="0" fontId="27" fillId="2" borderId="85" xfId="0" applyFont="1" applyFill="1" applyBorder="1" applyAlignment="1">
      <alignment horizontal="center" vertical="center" wrapText="1"/>
    </xf>
    <xf numFmtId="0" fontId="27" fillId="2" borderId="84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/>
    </xf>
    <xf numFmtId="0" fontId="27" fillId="0" borderId="1" xfId="0" applyFont="1" applyBorder="1" applyAlignment="1">
      <alignment wrapText="1"/>
    </xf>
    <xf numFmtId="4" fontId="27" fillId="0" borderId="1" xfId="0" quotePrefix="1" applyNumberFormat="1" applyFont="1" applyBorder="1" applyAlignment="1">
      <alignment horizontal="right"/>
    </xf>
    <xf numFmtId="4" fontId="27" fillId="0" borderId="5" xfId="0" quotePrefix="1" applyNumberFormat="1" applyFont="1" applyBorder="1" applyAlignment="1">
      <alignment horizontal="right"/>
    </xf>
    <xf numFmtId="4" fontId="27" fillId="0" borderId="6" xfId="0" applyNumberFormat="1" applyFont="1" applyBorder="1" applyAlignment="1">
      <alignment horizontal="right"/>
    </xf>
    <xf numFmtId="4" fontId="27" fillId="0" borderId="7" xfId="0" applyNumberFormat="1" applyFont="1" applyBorder="1" applyAlignment="1">
      <alignment horizontal="right"/>
    </xf>
    <xf numFmtId="0" fontId="27" fillId="0" borderId="1" xfId="0" applyFont="1" applyBorder="1" applyAlignment="1">
      <alignment vertical="top" wrapText="1"/>
    </xf>
    <xf numFmtId="0" fontId="29" fillId="0" borderId="2" xfId="0" applyFont="1" applyBorder="1" applyAlignment="1">
      <alignment horizontal="right"/>
    </xf>
    <xf numFmtId="0" fontId="28" fillId="0" borderId="2" xfId="0" applyFont="1" applyBorder="1" applyAlignment="1">
      <alignment horizontal="center"/>
    </xf>
    <xf numFmtId="4" fontId="27" fillId="0" borderId="76" xfId="0" applyNumberFormat="1" applyFont="1" applyBorder="1" applyAlignment="1">
      <alignment horizontal="right"/>
    </xf>
    <xf numFmtId="4" fontId="27" fillId="0" borderId="1" xfId="0" applyNumberFormat="1" applyFont="1" applyBorder="1"/>
    <xf numFmtId="2" fontId="27" fillId="0" borderId="1" xfId="0" applyNumberFormat="1" applyFont="1" applyBorder="1"/>
    <xf numFmtId="4" fontId="27" fillId="0" borderId="3" xfId="0" applyNumberFormat="1" applyFont="1" applyBorder="1"/>
    <xf numFmtId="0" fontId="28" fillId="0" borderId="8" xfId="0" applyFont="1" applyBorder="1" applyAlignment="1">
      <alignment horizontal="right"/>
    </xf>
    <xf numFmtId="4" fontId="28" fillId="0" borderId="7" xfId="0" applyNumberFormat="1" applyFont="1" applyBorder="1" applyAlignment="1">
      <alignment horizontal="right"/>
    </xf>
    <xf numFmtId="164" fontId="2" fillId="0" borderId="0" xfId="0" applyNumberFormat="1" applyFont="1"/>
    <xf numFmtId="4" fontId="22" fillId="0" borderId="0" xfId="2" applyNumberFormat="1" applyFont="1" applyAlignment="1" applyProtection="1">
      <alignment horizontal="right" vertical="top"/>
    </xf>
    <xf numFmtId="4" fontId="22" fillId="0" borderId="0" xfId="2" applyNumberFormat="1" applyFont="1" applyAlignment="1" applyProtection="1">
      <alignment horizontal="right" vertical="top"/>
    </xf>
    <xf numFmtId="4" fontId="23" fillId="0" borderId="0" xfId="2" applyNumberFormat="1" applyFont="1" applyAlignment="1" applyProtection="1">
      <alignment horizontal="right" vertical="top"/>
    </xf>
    <xf numFmtId="4" fontId="23" fillId="0" borderId="0" xfId="2" applyNumberFormat="1" applyFont="1" applyAlignment="1" applyProtection="1">
      <alignment horizontal="right" vertical="top"/>
    </xf>
    <xf numFmtId="4" fontId="22" fillId="0" borderId="0" xfId="2" applyNumberFormat="1" applyFont="1" applyAlignment="1" applyProtection="1">
      <alignment horizontal="right" vertical="top"/>
    </xf>
    <xf numFmtId="165" fontId="2" fillId="0" borderId="73" xfId="0" applyNumberFormat="1" applyFont="1" applyFill="1" applyBorder="1" applyAlignment="1">
      <alignment horizontal="right"/>
    </xf>
    <xf numFmtId="4" fontId="22" fillId="0" borderId="88" xfId="2" applyNumberFormat="1" applyFont="1" applyBorder="1" applyAlignment="1" applyProtection="1">
      <alignment horizontal="right" vertical="top"/>
    </xf>
    <xf numFmtId="164" fontId="30" fillId="0" borderId="88" xfId="3" applyFont="1" applyBorder="1" applyAlignment="1" applyProtection="1">
      <alignment horizontal="left" vertical="top"/>
    </xf>
    <xf numFmtId="165" fontId="2" fillId="0" borderId="88" xfId="0" applyNumberFormat="1" applyFont="1" applyBorder="1" applyAlignment="1">
      <alignment horizontal="right"/>
    </xf>
    <xf numFmtId="4" fontId="23" fillId="0" borderId="88" xfId="2" applyNumberFormat="1" applyFont="1" applyBorder="1" applyAlignment="1" applyProtection="1">
      <alignment horizontal="right" vertical="top"/>
    </xf>
    <xf numFmtId="165" fontId="2" fillId="12" borderId="88" xfId="0" applyNumberFormat="1" applyFont="1" applyFill="1" applyBorder="1" applyAlignment="1">
      <alignment horizontal="right"/>
    </xf>
    <xf numFmtId="0" fontId="28" fillId="0" borderId="0" xfId="4" applyFont="1"/>
    <xf numFmtId="0" fontId="27" fillId="0" borderId="0" xfId="4" applyFont="1"/>
    <xf numFmtId="4" fontId="27" fillId="0" borderId="0" xfId="4" applyNumberFormat="1" applyFont="1"/>
    <xf numFmtId="0" fontId="27" fillId="0" borderId="94" xfId="4" applyFont="1" applyBorder="1"/>
    <xf numFmtId="4" fontId="27" fillId="0" borderId="94" xfId="4" applyNumberFormat="1" applyFont="1" applyBorder="1" applyAlignment="1">
      <alignment horizontal="right"/>
    </xf>
    <xf numFmtId="0" fontId="27" fillId="0" borderId="1" xfId="4" applyFont="1" applyBorder="1"/>
    <xf numFmtId="4" fontId="27" fillId="0" borderId="1" xfId="4" applyNumberFormat="1" applyFont="1" applyBorder="1" applyAlignment="1">
      <alignment horizontal="right"/>
    </xf>
    <xf numFmtId="0" fontId="28" fillId="0" borderId="3" xfId="4" applyFont="1" applyBorder="1"/>
    <xf numFmtId="4" fontId="28" fillId="0" borderId="3" xfId="4" applyNumberFormat="1" applyFont="1" applyBorder="1" applyAlignment="1">
      <alignment horizontal="right"/>
    </xf>
    <xf numFmtId="4" fontId="27" fillId="2" borderId="4" xfId="4" applyNumberFormat="1" applyFont="1" applyFill="1" applyBorder="1" applyAlignment="1">
      <alignment horizontal="center" vertical="center" wrapText="1"/>
    </xf>
    <xf numFmtId="4" fontId="28" fillId="0" borderId="94" xfId="4" applyNumberFormat="1" applyFont="1" applyBorder="1" applyAlignment="1">
      <alignment horizontal="right"/>
    </xf>
    <xf numFmtId="0" fontId="27" fillId="0" borderId="3" xfId="4" applyFont="1" applyBorder="1"/>
    <xf numFmtId="4" fontId="27" fillId="0" borderId="3" xfId="4" applyNumberFormat="1" applyFont="1" applyBorder="1" applyAlignment="1">
      <alignment horizontal="right"/>
    </xf>
    <xf numFmtId="0" fontId="27" fillId="2" borderId="89" xfId="4" applyFont="1" applyFill="1" applyBorder="1" applyAlignment="1">
      <alignment horizontal="center" vertical="center" wrapText="1"/>
    </xf>
    <xf numFmtId="0" fontId="27" fillId="2" borderId="90" xfId="4" applyFont="1" applyFill="1" applyBorder="1" applyAlignment="1">
      <alignment horizontal="center" vertical="center" wrapText="1"/>
    </xf>
    <xf numFmtId="4" fontId="27" fillId="2" borderId="90" xfId="4" applyNumberFormat="1" applyFont="1" applyFill="1" applyBorder="1" applyAlignment="1">
      <alignment horizontal="center" vertical="center" wrapText="1"/>
    </xf>
    <xf numFmtId="0" fontId="27" fillId="2" borderId="91" xfId="4" applyFont="1" applyFill="1" applyBorder="1" applyAlignment="1">
      <alignment horizontal="center" vertical="center" wrapText="1"/>
    </xf>
    <xf numFmtId="165" fontId="27" fillId="0" borderId="94" xfId="4" applyNumberFormat="1" applyFont="1" applyBorder="1" applyAlignment="1">
      <alignment horizontal="right"/>
    </xf>
    <xf numFmtId="166" fontId="27" fillId="0" borderId="94" xfId="4" applyNumberFormat="1" applyFont="1" applyBorder="1" applyAlignment="1">
      <alignment horizontal="right"/>
    </xf>
    <xf numFmtId="165" fontId="28" fillId="0" borderId="95" xfId="4" applyNumberFormat="1" applyFont="1" applyBorder="1" applyAlignment="1">
      <alignment horizontal="right"/>
    </xf>
    <xf numFmtId="164" fontId="27" fillId="0" borderId="0" xfId="5" applyFont="1"/>
    <xf numFmtId="164" fontId="27" fillId="0" borderId="0" xfId="4" applyNumberFormat="1" applyFont="1"/>
    <xf numFmtId="0" fontId="27" fillId="0" borderId="94" xfId="4" applyFont="1" applyBorder="1" applyAlignment="1">
      <alignment horizontal="right"/>
    </xf>
    <xf numFmtId="0" fontId="27" fillId="0" borderId="1" xfId="4" applyFont="1" applyBorder="1" applyAlignment="1">
      <alignment horizontal="right"/>
    </xf>
    <xf numFmtId="0" fontId="27" fillId="0" borderId="0" xfId="4" applyFont="1" applyAlignment="1">
      <alignment horizontal="left"/>
    </xf>
    <xf numFmtId="0" fontId="27" fillId="0" borderId="0" xfId="4" applyFont="1" applyBorder="1"/>
    <xf numFmtId="4" fontId="27" fillId="0" borderId="0" xfId="4" applyNumberFormat="1" applyFont="1" applyBorder="1"/>
    <xf numFmtId="0" fontId="27" fillId="2" borderId="4" xfId="4" applyFont="1" applyFill="1" applyBorder="1" applyAlignment="1">
      <alignment horizontal="center" vertical="center"/>
    </xf>
    <xf numFmtId="0" fontId="27" fillId="2" borderId="4" xfId="4" applyFont="1" applyFill="1" applyBorder="1" applyAlignment="1"/>
    <xf numFmtId="0" fontId="31" fillId="0" borderId="0" xfId="4" applyFont="1"/>
    <xf numFmtId="0" fontId="32" fillId="0" borderId="0" xfId="4" applyFont="1"/>
    <xf numFmtId="0" fontId="27" fillId="0" borderId="1" xfId="4" applyFont="1" applyBorder="1" applyAlignment="1">
      <alignment vertical="justify"/>
    </xf>
    <xf numFmtId="0" fontId="27" fillId="0" borderId="0" xfId="4" applyFont="1" applyFill="1" applyBorder="1"/>
    <xf numFmtId="0" fontId="27" fillId="0" borderId="0" xfId="4" applyFont="1" applyBorder="1" applyAlignment="1">
      <alignment horizontal="right"/>
    </xf>
    <xf numFmtId="0" fontId="3" fillId="0" borderId="0" xfId="4" applyFont="1"/>
    <xf numFmtId="0" fontId="2" fillId="0" borderId="0" xfId="4" applyFont="1"/>
    <xf numFmtId="0" fontId="2" fillId="0" borderId="1" xfId="4" applyFont="1" applyBorder="1"/>
    <xf numFmtId="4" fontId="2" fillId="0" borderId="1" xfId="4" applyNumberFormat="1" applyFont="1" applyBorder="1" applyAlignment="1">
      <alignment horizontal="right"/>
    </xf>
    <xf numFmtId="0" fontId="2" fillId="0" borderId="1" xfId="4" applyFont="1" applyBorder="1" applyAlignment="1">
      <alignment vertical="justify"/>
    </xf>
    <xf numFmtId="0" fontId="2" fillId="0" borderId="3" xfId="4" applyFont="1" applyBorder="1"/>
    <xf numFmtId="4" fontId="2" fillId="0" borderId="3" xfId="4" applyNumberFormat="1" applyFont="1" applyBorder="1" applyAlignment="1">
      <alignment horizontal="right"/>
    </xf>
    <xf numFmtId="0" fontId="2" fillId="0" borderId="1" xfId="4" applyFont="1" applyBorder="1" applyAlignment="1">
      <alignment horizontal="left" vertical="center" wrapText="1"/>
    </xf>
    <xf numFmtId="0" fontId="2" fillId="0" borderId="1" xfId="4" applyFont="1" applyBorder="1" applyAlignment="1">
      <alignment horizontal="right"/>
    </xf>
    <xf numFmtId="0" fontId="2" fillId="0" borderId="3" xfId="4" applyFont="1" applyBorder="1" applyAlignment="1">
      <alignment horizontal="right"/>
    </xf>
    <xf numFmtId="0" fontId="2" fillId="0" borderId="0" xfId="4" applyFont="1" applyBorder="1"/>
    <xf numFmtId="0" fontId="2" fillId="0" borderId="94" xfId="4" applyFont="1" applyBorder="1"/>
    <xf numFmtId="4" fontId="2" fillId="0" borderId="94" xfId="4" applyNumberFormat="1" applyFont="1" applyBorder="1" applyAlignment="1">
      <alignment horizontal="right"/>
    </xf>
    <xf numFmtId="0" fontId="2" fillId="0" borderId="95" xfId="4" applyFont="1" applyBorder="1"/>
    <xf numFmtId="4" fontId="2" fillId="0" borderId="95" xfId="4" applyNumberFormat="1" applyFont="1" applyBorder="1" applyAlignment="1">
      <alignment horizontal="right"/>
    </xf>
    <xf numFmtId="2" fontId="27" fillId="0" borderId="1" xfId="4" applyNumberFormat="1" applyFont="1" applyBorder="1" applyAlignment="1">
      <alignment horizontal="right"/>
    </xf>
    <xf numFmtId="0" fontId="28" fillId="0" borderId="94" xfId="4" applyFont="1" applyBorder="1" applyAlignment="1">
      <alignment vertical="justify"/>
    </xf>
    <xf numFmtId="0" fontId="27" fillId="0" borderId="94" xfId="4" applyFont="1" applyBorder="1" applyAlignment="1">
      <alignment vertical="justify"/>
    </xf>
    <xf numFmtId="0" fontId="2" fillId="0" borderId="94" xfId="4" applyFont="1" applyBorder="1" applyAlignment="1">
      <alignment vertical="justify"/>
    </xf>
    <xf numFmtId="0" fontId="2" fillId="0" borderId="94" xfId="4" applyFont="1" applyBorder="1" applyAlignment="1"/>
    <xf numFmtId="4" fontId="2" fillId="0" borderId="94" xfId="4" applyNumberFormat="1" applyFont="1" applyBorder="1" applyAlignment="1">
      <alignment horizontal="right" vertical="center"/>
    </xf>
    <xf numFmtId="0" fontId="2" fillId="0" borderId="1" xfId="4" applyFont="1" applyBorder="1" applyAlignment="1"/>
    <xf numFmtId="4" fontId="2" fillId="0" borderId="1" xfId="4" applyNumberFormat="1" applyFont="1" applyBorder="1" applyAlignment="1">
      <alignment horizontal="right" vertical="center"/>
    </xf>
    <xf numFmtId="0" fontId="3" fillId="0" borderId="3" xfId="4" applyFont="1" applyBorder="1"/>
    <xf numFmtId="4" fontId="3" fillId="0" borderId="3" xfId="4" applyNumberFormat="1" applyFont="1" applyBorder="1" applyAlignment="1">
      <alignment horizontal="right"/>
    </xf>
    <xf numFmtId="4" fontId="3" fillId="0" borderId="94" xfId="4" applyNumberFormat="1" applyFont="1" applyBorder="1" applyAlignment="1">
      <alignment horizontal="right" vertical="center"/>
    </xf>
    <xf numFmtId="0" fontId="33" fillId="0" borderId="1" xfId="4" applyFont="1" applyBorder="1" applyAlignment="1">
      <alignment vertical="justify"/>
    </xf>
    <xf numFmtId="4" fontId="3" fillId="0" borderId="1" xfId="4" applyNumberFormat="1" applyFont="1" applyBorder="1" applyAlignment="1">
      <alignment horizontal="right" vertical="center"/>
    </xf>
    <xf numFmtId="0" fontId="33" fillId="0" borderId="0" xfId="4" applyFont="1"/>
    <xf numFmtId="0" fontId="2" fillId="0" borderId="95" xfId="4" applyFont="1" applyBorder="1" applyAlignment="1">
      <alignment vertical="justify"/>
    </xf>
    <xf numFmtId="0" fontId="2" fillId="0" borderId="95" xfId="4" applyFont="1" applyBorder="1" applyAlignment="1"/>
    <xf numFmtId="4" fontId="2" fillId="0" borderId="95" xfId="4" applyNumberFormat="1" applyFont="1" applyBorder="1" applyAlignment="1">
      <alignment horizontal="right" vertical="center"/>
    </xf>
    <xf numFmtId="0" fontId="2" fillId="0" borderId="0" xfId="4" applyFont="1" applyAlignment="1">
      <alignment horizontal="left" indent="1"/>
    </xf>
    <xf numFmtId="0" fontId="2" fillId="0" borderId="0" xfId="4" applyFont="1" applyAlignment="1">
      <alignment horizontal="left" indent="2"/>
    </xf>
    <xf numFmtId="0" fontId="2" fillId="2" borderId="102" xfId="4" applyFont="1" applyFill="1" applyBorder="1" applyAlignment="1">
      <alignment horizontal="center" vertical="center" wrapText="1"/>
    </xf>
    <xf numFmtId="0" fontId="2" fillId="2" borderId="103" xfId="4" applyFont="1" applyFill="1" applyBorder="1" applyAlignment="1">
      <alignment horizontal="center" vertical="center" wrapText="1"/>
    </xf>
    <xf numFmtId="0" fontId="2" fillId="2" borderId="104" xfId="4" applyFont="1" applyFill="1" applyBorder="1" applyAlignment="1">
      <alignment horizontal="center" vertical="center" wrapText="1"/>
    </xf>
    <xf numFmtId="0" fontId="34" fillId="0" borderId="0" xfId="4" applyFont="1"/>
    <xf numFmtId="0" fontId="35" fillId="0" borderId="0" xfId="4" applyFont="1"/>
    <xf numFmtId="0" fontId="28" fillId="0" borderId="1" xfId="4" applyFont="1" applyBorder="1" applyAlignment="1">
      <alignment vertical="justify"/>
    </xf>
    <xf numFmtId="0" fontId="27" fillId="0" borderId="1" xfId="4" applyFont="1" applyBorder="1" applyAlignment="1"/>
    <xf numFmtId="4" fontId="27" fillId="0" borderId="1" xfId="4" applyNumberFormat="1" applyFont="1" applyBorder="1" applyAlignment="1">
      <alignment horizontal="right" vertical="center"/>
    </xf>
    <xf numFmtId="4" fontId="28" fillId="0" borderId="1" xfId="4" applyNumberFormat="1" applyFont="1" applyBorder="1" applyAlignment="1">
      <alignment horizontal="right" vertical="center"/>
    </xf>
    <xf numFmtId="0" fontId="28" fillId="0" borderId="1" xfId="4" applyFont="1" applyBorder="1" applyAlignment="1">
      <alignment horizontal="left" vertical="justify"/>
    </xf>
    <xf numFmtId="0" fontId="36" fillId="0" borderId="1" xfId="4" applyFont="1" applyBorder="1" applyAlignment="1">
      <alignment vertical="justify"/>
    </xf>
    <xf numFmtId="4" fontId="28" fillId="0" borderId="3" xfId="4" applyNumberFormat="1" applyFont="1" applyBorder="1" applyAlignment="1">
      <alignment vertical="center"/>
    </xf>
    <xf numFmtId="0" fontId="2" fillId="0" borderId="3" xfId="4" applyFont="1" applyBorder="1" applyAlignment="1"/>
    <xf numFmtId="0" fontId="2" fillId="0" borderId="1" xfId="4" applyFont="1" applyFill="1" applyBorder="1" applyAlignment="1">
      <alignment wrapText="1"/>
    </xf>
    <xf numFmtId="0" fontId="2" fillId="0" borderId="6" xfId="4" applyFont="1" applyFill="1" applyBorder="1" applyAlignment="1">
      <alignment wrapText="1"/>
    </xf>
    <xf numFmtId="0" fontId="2" fillId="0" borderId="1" xfId="4" applyFont="1" applyFill="1" applyBorder="1" applyAlignment="1">
      <alignment horizontal="justify" vertical="center" wrapText="1"/>
    </xf>
    <xf numFmtId="0" fontId="3" fillId="0" borderId="3" xfId="4" applyFont="1" applyBorder="1" applyAlignment="1">
      <alignment vertical="justify"/>
    </xf>
    <xf numFmtId="0" fontId="3" fillId="0" borderId="6" xfId="4" applyFont="1" applyBorder="1" applyAlignment="1"/>
    <xf numFmtId="4" fontId="3" fillId="0" borderId="3" xfId="4" applyNumberFormat="1" applyFont="1" applyBorder="1" applyAlignment="1">
      <alignment horizontal="right" vertical="center"/>
    </xf>
    <xf numFmtId="9" fontId="27" fillId="0" borderId="0" xfId="4" applyNumberFormat="1" applyFont="1"/>
    <xf numFmtId="0" fontId="2" fillId="0" borderId="1" xfId="4" applyFont="1" applyBorder="1" applyAlignment="1">
      <alignment wrapText="1"/>
    </xf>
    <xf numFmtId="0" fontId="27" fillId="0" borderId="94" xfId="4" applyFont="1" applyBorder="1" applyAlignment="1">
      <alignment wrapText="1"/>
    </xf>
    <xf numFmtId="4" fontId="27" fillId="0" borderId="94" xfId="4" applyNumberFormat="1" applyFont="1" applyBorder="1" applyAlignment="1">
      <alignment horizontal="right" vertical="center"/>
    </xf>
    <xf numFmtId="0" fontId="27" fillId="0" borderId="1" xfId="4" applyFont="1" applyBorder="1" applyAlignment="1">
      <alignment wrapText="1"/>
    </xf>
    <xf numFmtId="0" fontId="2" fillId="0" borderId="0" xfId="4" applyFont="1" applyFill="1" applyBorder="1" applyAlignment="1">
      <alignment vertical="justify"/>
    </xf>
    <xf numFmtId="0" fontId="2" fillId="0" borderId="0" xfId="4" applyFont="1" applyFill="1" applyBorder="1" applyAlignment="1">
      <alignment vertical="top"/>
    </xf>
    <xf numFmtId="0" fontId="27" fillId="0" borderId="1" xfId="4" applyFont="1" applyBorder="1" applyAlignment="1">
      <alignment horizontal="center" vertical="top" wrapText="1"/>
    </xf>
    <xf numFmtId="0" fontId="27" fillId="0" borderId="75" xfId="4" applyFont="1" applyFill="1" applyBorder="1"/>
    <xf numFmtId="0" fontId="27" fillId="0" borderId="75" xfId="4" applyFont="1" applyBorder="1"/>
    <xf numFmtId="4" fontId="27" fillId="0" borderId="75" xfId="4" applyNumberFormat="1" applyFont="1" applyBorder="1" applyAlignment="1">
      <alignment horizontal="right"/>
    </xf>
    <xf numFmtId="0" fontId="27" fillId="0" borderId="1" xfId="4" applyFont="1" applyBorder="1" applyAlignment="1">
      <alignment vertical="top" wrapText="1"/>
    </xf>
    <xf numFmtId="0" fontId="28" fillId="0" borderId="1" xfId="4" applyFont="1" applyBorder="1"/>
    <xf numFmtId="0" fontId="27" fillId="0" borderId="1" xfId="4" applyFont="1" applyBorder="1" applyAlignment="1">
      <alignment horizontal="left" vertical="justify" indent="3"/>
    </xf>
    <xf numFmtId="0" fontId="27" fillId="0" borderId="1" xfId="4" applyFont="1" applyBorder="1" applyAlignment="1">
      <alignment horizontal="left" vertical="justify" indent="1"/>
    </xf>
    <xf numFmtId="0" fontId="27" fillId="0" borderId="1" xfId="4" applyFont="1" applyBorder="1" applyAlignment="1">
      <alignment vertical="center" wrapText="1"/>
    </xf>
    <xf numFmtId="4" fontId="28" fillId="0" borderId="1" xfId="4" applyNumberFormat="1" applyFont="1" applyBorder="1" applyAlignment="1">
      <alignment horizontal="right"/>
    </xf>
    <xf numFmtId="4" fontId="3" fillId="0" borderId="1" xfId="4" applyNumberFormat="1" applyFont="1" applyBorder="1" applyAlignment="1">
      <alignment horizontal="right"/>
    </xf>
    <xf numFmtId="0" fontId="2" fillId="0" borderId="1" xfId="4" applyFont="1" applyBorder="1" applyAlignment="1">
      <alignment horizontal="left" indent="1"/>
    </xf>
    <xf numFmtId="0" fontId="28" fillId="0" borderId="1" xfId="4" applyFont="1" applyBorder="1" applyAlignment="1"/>
    <xf numFmtId="164" fontId="32" fillId="0" borderId="0" xfId="5" applyFont="1"/>
    <xf numFmtId="0" fontId="27" fillId="0" borderId="1" xfId="4" applyFont="1" applyBorder="1" applyAlignment="1">
      <alignment horizontal="left" indent="3"/>
    </xf>
    <xf numFmtId="0" fontId="27" fillId="0" borderId="1" xfId="4" applyFont="1" applyBorder="1" applyAlignment="1">
      <alignment horizontal="left"/>
    </xf>
    <xf numFmtId="4" fontId="28" fillId="0" borderId="0" xfId="4" applyNumberFormat="1" applyFont="1"/>
    <xf numFmtId="4" fontId="36" fillId="0" borderId="1" xfId="4" applyNumberFormat="1" applyFont="1" applyBorder="1" applyAlignment="1">
      <alignment horizontal="right"/>
    </xf>
    <xf numFmtId="0" fontId="27" fillId="0" borderId="1" xfId="4" applyFont="1" applyBorder="1" applyAlignment="1">
      <alignment horizontal="left" indent="1"/>
    </xf>
    <xf numFmtId="4" fontId="27" fillId="0" borderId="0" xfId="4" applyNumberFormat="1" applyFont="1" applyAlignment="1">
      <alignment horizontal="center"/>
    </xf>
    <xf numFmtId="0" fontId="2" fillId="0" borderId="1" xfId="4" applyFont="1" applyBorder="1" applyAlignment="1">
      <alignment horizontal="left"/>
    </xf>
    <xf numFmtId="0" fontId="2" fillId="0" borderId="1" xfId="4" applyFont="1" applyBorder="1" applyAlignment="1">
      <alignment horizontal="left" vertical="justify" indent="1"/>
    </xf>
    <xf numFmtId="0" fontId="2" fillId="0" borderId="1" xfId="4" applyFont="1" applyBorder="1" applyAlignment="1">
      <alignment horizontal="left" vertical="justify" indent="2"/>
    </xf>
    <xf numFmtId="0" fontId="33" fillId="0" borderId="1" xfId="4" applyFont="1" applyBorder="1" applyAlignment="1">
      <alignment horizontal="left" indent="3"/>
    </xf>
    <xf numFmtId="9" fontId="33" fillId="0" borderId="1" xfId="6" applyFont="1" applyBorder="1" applyAlignment="1">
      <alignment horizontal="right"/>
    </xf>
    <xf numFmtId="4" fontId="33" fillId="0" borderId="1" xfId="6" applyNumberFormat="1" applyFont="1" applyBorder="1" applyAlignment="1">
      <alignment horizontal="right"/>
    </xf>
    <xf numFmtId="165" fontId="33" fillId="0" borderId="1" xfId="6" applyNumberFormat="1" applyFont="1" applyBorder="1" applyAlignment="1">
      <alignment horizontal="right"/>
    </xf>
    <xf numFmtId="0" fontId="3" fillId="0" borderId="3" xfId="4" applyFont="1" applyBorder="1" applyAlignment="1">
      <alignment horizontal="left"/>
    </xf>
    <xf numFmtId="0" fontId="3" fillId="0" borderId="3" xfId="4" applyFont="1" applyBorder="1" applyAlignment="1"/>
    <xf numFmtId="4" fontId="4" fillId="0" borderId="3" xfId="4" applyNumberFormat="1" applyFont="1" applyBorder="1" applyAlignment="1">
      <alignment horizontal="right"/>
    </xf>
    <xf numFmtId="0" fontId="2" fillId="0" borderId="0" xfId="4" applyFont="1" applyBorder="1" applyAlignment="1">
      <alignment horizontal="right"/>
    </xf>
    <xf numFmtId="0" fontId="2" fillId="0" borderId="0" xfId="4" applyFont="1" applyBorder="1" applyAlignment="1"/>
    <xf numFmtId="4" fontId="33" fillId="0" borderId="0" xfId="4" applyNumberFormat="1" applyFont="1" applyBorder="1" applyAlignment="1">
      <alignment horizontal="right"/>
    </xf>
    <xf numFmtId="0" fontId="33" fillId="0" borderId="1" xfId="4" applyFont="1" applyBorder="1" applyAlignment="1">
      <alignment horizontal="left" indent="1"/>
    </xf>
    <xf numFmtId="1" fontId="0" fillId="0" borderId="0" xfId="0" applyNumberFormat="1" applyAlignment="1">
      <alignment vertical="center"/>
    </xf>
    <xf numFmtId="4" fontId="10" fillId="0" borderId="0" xfId="0" applyNumberFormat="1" applyFont="1" applyAlignment="1">
      <alignment horizontal="right" vertical="center"/>
    </xf>
    <xf numFmtId="0" fontId="0" fillId="0" borderId="0" xfId="0" applyAlignment="1"/>
    <xf numFmtId="0" fontId="41" fillId="0" borderId="0" xfId="0" applyFont="1"/>
    <xf numFmtId="0" fontId="42" fillId="0" borderId="0" xfId="1" applyFont="1" applyFill="1" applyAlignment="1" applyProtection="1">
      <alignment horizontal="left"/>
    </xf>
    <xf numFmtId="4" fontId="28" fillId="0" borderId="3" xfId="0" applyNumberFormat="1" applyFont="1" applyBorder="1" applyAlignment="1">
      <alignment horizontal="right"/>
    </xf>
    <xf numFmtId="165" fontId="27" fillId="0" borderId="0" xfId="0" applyNumberFormat="1" applyFont="1"/>
    <xf numFmtId="165" fontId="43" fillId="0" borderId="0" xfId="0" applyNumberFormat="1" applyFont="1"/>
    <xf numFmtId="0" fontId="27" fillId="0" borderId="0" xfId="0" applyFont="1"/>
    <xf numFmtId="0" fontId="43" fillId="0" borderId="0" xfId="0" applyFont="1"/>
    <xf numFmtId="0" fontId="27" fillId="0" borderId="131" xfId="0" applyFont="1" applyBorder="1"/>
    <xf numFmtId="0" fontId="27" fillId="0" borderId="0" xfId="0" applyFont="1" applyAlignment="1">
      <alignment horizontal="center"/>
    </xf>
    <xf numFmtId="0" fontId="27" fillId="0" borderId="0" xfId="0" applyFont="1" applyBorder="1" applyAlignment="1">
      <alignment horizontal="center"/>
    </xf>
    <xf numFmtId="0" fontId="27" fillId="0" borderId="75" xfId="0" applyFont="1" applyBorder="1"/>
    <xf numFmtId="4" fontId="27" fillId="0" borderId="0" xfId="0" applyNumberFormat="1" applyFont="1"/>
    <xf numFmtId="0" fontId="27" fillId="0" borderId="94" xfId="4" applyFont="1" applyBorder="1" applyAlignment="1"/>
    <xf numFmtId="0" fontId="44" fillId="0" borderId="0" xfId="0" applyFont="1"/>
    <xf numFmtId="0" fontId="3" fillId="0" borderId="6" xfId="0" applyFont="1" applyBorder="1"/>
    <xf numFmtId="4" fontId="22" fillId="0" borderId="6" xfId="0" applyNumberFormat="1" applyFont="1" applyBorder="1" applyAlignment="1" applyProtection="1">
      <alignment horizontal="right" vertical="top"/>
    </xf>
    <xf numFmtId="165" fontId="2" fillId="0" borderId="6" xfId="0" applyNumberFormat="1" applyFont="1" applyBorder="1"/>
    <xf numFmtId="0" fontId="27" fillId="0" borderId="132" xfId="0" applyFont="1" applyBorder="1"/>
    <xf numFmtId="165" fontId="2" fillId="0" borderId="6" xfId="0" applyNumberFormat="1" applyFont="1" applyBorder="1" applyAlignment="1">
      <alignment horizontal="right"/>
    </xf>
    <xf numFmtId="164" fontId="2" fillId="0" borderId="0" xfId="5" applyFont="1"/>
    <xf numFmtId="165" fontId="23" fillId="0" borderId="6" xfId="0" applyNumberFormat="1" applyFont="1" applyBorder="1" applyAlignment="1" applyProtection="1">
      <alignment horizontal="right" vertical="top"/>
    </xf>
    <xf numFmtId="0" fontId="27" fillId="0" borderId="132" xfId="0" applyFont="1" applyBorder="1" applyAlignment="1">
      <alignment wrapText="1"/>
    </xf>
    <xf numFmtId="0" fontId="27" fillId="0" borderId="132" xfId="0" applyFont="1" applyBorder="1" applyAlignment="1">
      <alignment horizontal="center"/>
    </xf>
    <xf numFmtId="4" fontId="27" fillId="0" borderId="132" xfId="0" applyNumberFormat="1" applyFont="1" applyBorder="1" applyAlignment="1">
      <alignment horizontal="right"/>
    </xf>
    <xf numFmtId="165" fontId="22" fillId="0" borderId="6" xfId="0" applyNumberFormat="1" applyFont="1" applyBorder="1" applyAlignment="1" applyProtection="1">
      <alignment horizontal="center" vertical="top"/>
    </xf>
    <xf numFmtId="165" fontId="22" fillId="0" borderId="6" xfId="0" applyNumberFormat="1" applyFont="1" applyBorder="1" applyAlignment="1" applyProtection="1">
      <alignment horizontal="right" vertical="top"/>
    </xf>
    <xf numFmtId="0" fontId="28" fillId="0" borderId="132" xfId="0" applyFont="1" applyBorder="1" applyAlignment="1">
      <alignment horizontal="left"/>
    </xf>
    <xf numFmtId="0" fontId="28" fillId="0" borderId="132" xfId="0" applyFont="1" applyBorder="1"/>
    <xf numFmtId="0" fontId="2" fillId="0" borderId="6" xfId="0" applyFont="1" applyBorder="1"/>
    <xf numFmtId="164" fontId="2" fillId="0" borderId="0" xfId="5" applyFont="1" applyBorder="1"/>
    <xf numFmtId="0" fontId="0" fillId="0" borderId="0" xfId="0" applyAlignment="1">
      <alignment horizontal="left"/>
    </xf>
    <xf numFmtId="0" fontId="3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7" fillId="2" borderId="67" xfId="0" applyFont="1" applyFill="1" applyBorder="1" applyAlignment="1">
      <alignment horizontal="center" vertical="center" wrapText="1"/>
    </xf>
    <xf numFmtId="0" fontId="27" fillId="2" borderId="81" xfId="0" applyFont="1" applyFill="1" applyBorder="1" applyAlignment="1">
      <alignment horizontal="center" vertical="center" wrapText="1"/>
    </xf>
    <xf numFmtId="0" fontId="27" fillId="2" borderId="72" xfId="0" applyFont="1" applyFill="1" applyBorder="1" applyAlignment="1">
      <alignment horizontal="center" vertical="center" wrapText="1"/>
    </xf>
    <xf numFmtId="0" fontId="27" fillId="2" borderId="80" xfId="0" applyFont="1" applyFill="1" applyBorder="1" applyAlignment="1">
      <alignment horizontal="center" vertical="center" wrapText="1"/>
    </xf>
    <xf numFmtId="0" fontId="27" fillId="2" borderId="86" xfId="0" applyFont="1" applyFill="1" applyBorder="1" applyAlignment="1">
      <alignment horizontal="center" vertical="center" wrapText="1"/>
    </xf>
    <xf numFmtId="0" fontId="27" fillId="2" borderId="8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69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27" fillId="2" borderId="68" xfId="0" applyFont="1" applyFill="1" applyBorder="1" applyAlignment="1">
      <alignment horizontal="center" vertical="center"/>
    </xf>
    <xf numFmtId="0" fontId="27" fillId="2" borderId="44" xfId="0" applyFont="1" applyFill="1" applyBorder="1" applyAlignment="1">
      <alignment horizontal="center" vertical="center"/>
    </xf>
    <xf numFmtId="0" fontId="27" fillId="2" borderId="69" xfId="0" applyFont="1" applyFill="1" applyBorder="1" applyAlignment="1">
      <alignment horizontal="center" vertical="center"/>
    </xf>
    <xf numFmtId="0" fontId="27" fillId="2" borderId="70" xfId="0" applyFont="1" applyFill="1" applyBorder="1" applyAlignment="1">
      <alignment horizontal="center" vertical="center"/>
    </xf>
    <xf numFmtId="0" fontId="27" fillId="2" borderId="77" xfId="0" applyFont="1" applyFill="1" applyBorder="1" applyAlignment="1">
      <alignment horizontal="center" vertical="center"/>
    </xf>
    <xf numFmtId="0" fontId="27" fillId="2" borderId="78" xfId="0" applyFont="1" applyFill="1" applyBorder="1" applyAlignment="1">
      <alignment horizontal="center" vertical="center"/>
    </xf>
    <xf numFmtId="0" fontId="27" fillId="2" borderId="87" xfId="0" applyFont="1" applyFill="1" applyBorder="1" applyAlignment="1">
      <alignment horizontal="center" vertical="center"/>
    </xf>
    <xf numFmtId="0" fontId="27" fillId="2" borderId="79" xfId="0" applyFont="1" applyFill="1" applyBorder="1" applyAlignment="1">
      <alignment horizontal="center" vertical="center"/>
    </xf>
    <xf numFmtId="0" fontId="27" fillId="2" borderId="4" xfId="4" applyFont="1" applyFill="1" applyBorder="1" applyAlignment="1">
      <alignment horizontal="center" vertical="center"/>
    </xf>
    <xf numFmtId="0" fontId="27" fillId="2" borderId="4" xfId="4" applyFont="1" applyFill="1" applyBorder="1" applyAlignment="1"/>
    <xf numFmtId="4" fontId="27" fillId="2" borderId="4" xfId="4" applyNumberFormat="1" applyFont="1" applyFill="1" applyBorder="1" applyAlignment="1">
      <alignment horizontal="center"/>
    </xf>
    <xf numFmtId="0" fontId="27" fillId="2" borderId="89" xfId="4" applyFont="1" applyFill="1" applyBorder="1" applyAlignment="1">
      <alignment horizontal="center" vertical="center" wrapText="1"/>
    </xf>
    <xf numFmtId="0" fontId="27" fillId="2" borderId="92" xfId="4" applyFont="1" applyFill="1" applyBorder="1" applyAlignment="1">
      <alignment horizontal="center" vertical="center" wrapText="1"/>
    </xf>
    <xf numFmtId="0" fontId="27" fillId="2" borderId="90" xfId="4" applyFont="1" applyFill="1" applyBorder="1" applyAlignment="1">
      <alignment horizontal="center" vertical="center" wrapText="1"/>
    </xf>
    <xf numFmtId="0" fontId="27" fillId="2" borderId="4" xfId="4" applyFont="1" applyFill="1" applyBorder="1" applyAlignment="1">
      <alignment horizontal="center" vertical="center" wrapText="1"/>
    </xf>
    <xf numFmtId="4" fontId="27" fillId="2" borderId="90" xfId="4" applyNumberFormat="1" applyFont="1" applyFill="1" applyBorder="1" applyAlignment="1">
      <alignment horizontal="center" vertical="center" wrapText="1"/>
    </xf>
    <xf numFmtId="4" fontId="27" fillId="2" borderId="4" xfId="4" applyNumberFormat="1" applyFont="1" applyFill="1" applyBorder="1" applyAlignment="1">
      <alignment horizontal="center" vertical="center" wrapText="1"/>
    </xf>
    <xf numFmtId="4" fontId="27" fillId="2" borderId="91" xfId="4" applyNumberFormat="1" applyFont="1" applyFill="1" applyBorder="1" applyAlignment="1">
      <alignment horizontal="center" vertical="center" wrapText="1"/>
    </xf>
    <xf numFmtId="4" fontId="27" fillId="2" borderId="93" xfId="4" applyNumberFormat="1" applyFont="1" applyFill="1" applyBorder="1" applyAlignment="1">
      <alignment horizontal="center" vertical="center" wrapText="1"/>
    </xf>
    <xf numFmtId="0" fontId="27" fillId="2" borderId="96" xfId="4" applyFont="1" applyFill="1" applyBorder="1" applyAlignment="1">
      <alignment horizontal="center" vertical="center"/>
    </xf>
    <xf numFmtId="0" fontId="27" fillId="2" borderId="97" xfId="4" applyFont="1" applyFill="1" applyBorder="1" applyAlignment="1">
      <alignment horizontal="center" vertical="center"/>
    </xf>
    <xf numFmtId="4" fontId="27" fillId="2" borderId="99" xfId="4" applyNumberFormat="1" applyFont="1" applyFill="1" applyBorder="1" applyAlignment="1">
      <alignment horizontal="center"/>
    </xf>
    <xf numFmtId="4" fontId="27" fillId="2" borderId="100" xfId="4" applyNumberFormat="1" applyFont="1" applyFill="1" applyBorder="1" applyAlignment="1">
      <alignment horizontal="center"/>
    </xf>
    <xf numFmtId="4" fontId="27" fillId="2" borderId="101" xfId="4" applyNumberFormat="1" applyFont="1" applyFill="1" applyBorder="1" applyAlignment="1">
      <alignment horizontal="center"/>
    </xf>
    <xf numFmtId="4" fontId="27" fillId="2" borderId="96" xfId="4" applyNumberFormat="1" applyFont="1" applyFill="1" applyBorder="1" applyAlignment="1">
      <alignment horizontal="center" vertical="center" wrapText="1"/>
    </xf>
    <xf numFmtId="4" fontId="27" fillId="2" borderId="97" xfId="4" applyNumberFormat="1" applyFont="1" applyFill="1" applyBorder="1" applyAlignment="1">
      <alignment horizontal="center" vertical="center" wrapText="1"/>
    </xf>
    <xf numFmtId="4" fontId="27" fillId="2" borderId="98" xfId="4" applyNumberFormat="1" applyFont="1" applyFill="1" applyBorder="1" applyAlignment="1">
      <alignment horizontal="center" vertical="center" wrapText="1"/>
    </xf>
    <xf numFmtId="0" fontId="27" fillId="2" borderId="102" xfId="4" applyFont="1" applyFill="1" applyBorder="1" applyAlignment="1">
      <alignment horizontal="center" vertical="center" wrapText="1"/>
    </xf>
    <xf numFmtId="0" fontId="27" fillId="2" borderId="105" xfId="4" applyFont="1" applyFill="1" applyBorder="1" applyAlignment="1">
      <alignment horizontal="center" vertical="center" wrapText="1"/>
    </xf>
    <xf numFmtId="0" fontId="27" fillId="2" borderId="103" xfId="4" applyFont="1" applyFill="1" applyBorder="1" applyAlignment="1">
      <alignment horizontal="center" vertical="center" wrapText="1"/>
    </xf>
    <xf numFmtId="0" fontId="27" fillId="2" borderId="98" xfId="4" applyFont="1" applyFill="1" applyBorder="1" applyAlignment="1">
      <alignment horizontal="center" vertical="center" wrapText="1"/>
    </xf>
    <xf numFmtId="0" fontId="27" fillId="2" borderId="104" xfId="4" applyFont="1" applyFill="1" applyBorder="1" applyAlignment="1">
      <alignment horizontal="center" vertical="center" wrapText="1"/>
    </xf>
    <xf numFmtId="0" fontId="27" fillId="2" borderId="106" xfId="4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center" vertical="center" wrapText="1" justifyLastLine="1"/>
    </xf>
    <xf numFmtId="0" fontId="2" fillId="2" borderId="107" xfId="4" applyFont="1" applyFill="1" applyBorder="1" applyAlignment="1">
      <alignment horizontal="center" vertical="center" wrapText="1"/>
    </xf>
    <xf numFmtId="0" fontId="2" fillId="2" borderId="110" xfId="4" applyFont="1" applyFill="1" applyBorder="1" applyAlignment="1">
      <alignment horizontal="center" vertical="center" wrapText="1"/>
    </xf>
    <xf numFmtId="0" fontId="2" fillId="2" borderId="108" xfId="4" applyFont="1" applyFill="1" applyBorder="1" applyAlignment="1">
      <alignment horizontal="center" vertical="center" wrapText="1"/>
    </xf>
    <xf numFmtId="0" fontId="2" fillId="2" borderId="109" xfId="4" applyFont="1" applyFill="1" applyBorder="1" applyAlignment="1">
      <alignment horizontal="center" vertical="center" wrapText="1"/>
    </xf>
    <xf numFmtId="0" fontId="2" fillId="2" borderId="85" xfId="4" applyFont="1" applyFill="1" applyBorder="1" applyAlignment="1">
      <alignment horizontal="center" vertical="center" wrapText="1"/>
    </xf>
    <xf numFmtId="0" fontId="27" fillId="2" borderId="111" xfId="4" applyFont="1" applyFill="1" applyBorder="1" applyAlignment="1">
      <alignment horizontal="center" vertical="center" wrapText="1"/>
    </xf>
    <xf numFmtId="0" fontId="27" fillId="2" borderId="96" xfId="4" applyFont="1" applyFill="1" applyBorder="1" applyAlignment="1">
      <alignment horizontal="center" vertical="center" wrapText="1"/>
    </xf>
    <xf numFmtId="0" fontId="27" fillId="2" borderId="91" xfId="4" applyFont="1" applyFill="1" applyBorder="1" applyAlignment="1">
      <alignment horizontal="center" vertical="center" wrapText="1"/>
    </xf>
    <xf numFmtId="0" fontId="27" fillId="2" borderId="93" xfId="4" applyFont="1" applyFill="1" applyBorder="1" applyAlignment="1">
      <alignment horizontal="center" vertical="center" wrapText="1"/>
    </xf>
    <xf numFmtId="0" fontId="27" fillId="2" borderId="112" xfId="4" applyFont="1" applyFill="1" applyBorder="1" applyAlignment="1">
      <alignment horizontal="center" vertical="center" wrapText="1"/>
    </xf>
    <xf numFmtId="0" fontId="27" fillId="2" borderId="97" xfId="4" applyFont="1" applyFill="1" applyBorder="1" applyAlignment="1">
      <alignment horizontal="center" vertical="center" wrapText="1"/>
    </xf>
    <xf numFmtId="0" fontId="27" fillId="0" borderId="0" xfId="4" applyFont="1" applyAlignment="1">
      <alignment horizontal="left" vertical="center" wrapText="1"/>
    </xf>
    <xf numFmtId="0" fontId="27" fillId="2" borderId="109" xfId="4" applyFont="1" applyFill="1" applyBorder="1" applyAlignment="1">
      <alignment horizontal="center" vertical="center" wrapText="1"/>
    </xf>
    <xf numFmtId="0" fontId="27" fillId="2" borderId="85" xfId="4" applyFont="1" applyFill="1" applyBorder="1" applyAlignment="1">
      <alignment horizontal="center" vertical="center" wrapText="1"/>
    </xf>
    <xf numFmtId="0" fontId="27" fillId="2" borderId="107" xfId="4" applyFont="1" applyFill="1" applyBorder="1" applyAlignment="1">
      <alignment horizontal="center" vertical="center" wrapText="1"/>
    </xf>
    <xf numFmtId="0" fontId="27" fillId="2" borderId="110" xfId="4" applyFont="1" applyFill="1" applyBorder="1" applyAlignment="1">
      <alignment horizontal="center" vertical="center" wrapText="1"/>
    </xf>
    <xf numFmtId="0" fontId="27" fillId="2" borderId="108" xfId="4" applyFont="1" applyFill="1" applyBorder="1" applyAlignment="1">
      <alignment horizontal="center" vertical="center" wrapText="1"/>
    </xf>
    <xf numFmtId="0" fontId="27" fillId="2" borderId="113" xfId="4" applyFont="1" applyFill="1" applyBorder="1" applyAlignment="1">
      <alignment horizontal="center" vertical="center" wrapText="1"/>
    </xf>
    <xf numFmtId="0" fontId="27" fillId="2" borderId="114" xfId="4" applyFont="1" applyFill="1" applyBorder="1" applyAlignment="1">
      <alignment horizontal="center" vertical="center" wrapText="1"/>
    </xf>
    <xf numFmtId="0" fontId="27" fillId="2" borderId="115" xfId="4" applyFont="1" applyFill="1" applyBorder="1" applyAlignment="1">
      <alignment horizontal="center" vertical="center" wrapText="1"/>
    </xf>
    <xf numFmtId="0" fontId="27" fillId="2" borderId="118" xfId="4" applyFont="1" applyFill="1" applyBorder="1" applyAlignment="1">
      <alignment horizontal="center" vertical="center" wrapText="1"/>
    </xf>
    <xf numFmtId="0" fontId="27" fillId="2" borderId="116" xfId="4" applyFont="1" applyFill="1" applyBorder="1" applyAlignment="1">
      <alignment horizontal="center" vertical="center" wrapText="1"/>
    </xf>
    <xf numFmtId="0" fontId="27" fillId="2" borderId="117" xfId="4" applyFont="1" applyFill="1" applyBorder="1" applyAlignment="1">
      <alignment horizontal="center" vertical="center" wrapText="1"/>
    </xf>
    <xf numFmtId="0" fontId="27" fillId="2" borderId="119" xfId="4" applyFont="1" applyFill="1" applyBorder="1" applyAlignment="1">
      <alignment horizontal="center" vertical="center" wrapText="1"/>
    </xf>
    <xf numFmtId="0" fontId="27" fillId="2" borderId="102" xfId="4" applyFont="1" applyFill="1" applyBorder="1" applyAlignment="1">
      <alignment horizontal="center" vertical="center"/>
    </xf>
    <xf numFmtId="0" fontId="27" fillId="2" borderId="113" xfId="4" applyFont="1" applyFill="1" applyBorder="1" applyAlignment="1"/>
    <xf numFmtId="0" fontId="27" fillId="2" borderId="103" xfId="4" applyFont="1" applyFill="1" applyBorder="1" applyAlignment="1">
      <alignment horizontal="center" vertical="center"/>
    </xf>
    <xf numFmtId="0" fontId="27" fillId="2" borderId="97" xfId="4" applyFont="1" applyFill="1" applyBorder="1" applyAlignment="1"/>
    <xf numFmtId="0" fontId="27" fillId="2" borderId="104" xfId="4" applyFont="1" applyFill="1" applyBorder="1" applyAlignment="1">
      <alignment horizontal="center" vertical="center"/>
    </xf>
    <xf numFmtId="0" fontId="27" fillId="2" borderId="114" xfId="4" applyFont="1" applyFill="1" applyBorder="1" applyAlignment="1"/>
    <xf numFmtId="0" fontId="2" fillId="2" borderId="96" xfId="4" applyFont="1" applyFill="1" applyBorder="1" applyAlignment="1">
      <alignment horizontal="center" vertical="center" wrapText="1"/>
    </xf>
    <xf numFmtId="0" fontId="2" fillId="2" borderId="97" xfId="4" applyFont="1" applyFill="1" applyBorder="1" applyAlignment="1">
      <alignment horizontal="center" vertical="center" wrapText="1"/>
    </xf>
    <xf numFmtId="0" fontId="2" fillId="0" borderId="0" xfId="4" applyFont="1" applyAlignment="1">
      <alignment horizontal="left" vertical="justify" indent="1"/>
    </xf>
    <xf numFmtId="0" fontId="33" fillId="0" borderId="0" xfId="4" applyFont="1" applyAlignment="1">
      <alignment horizontal="left" vertical="justify" indent="1"/>
    </xf>
    <xf numFmtId="0" fontId="2" fillId="2" borderId="120" xfId="4" applyFont="1" applyFill="1" applyBorder="1" applyAlignment="1">
      <alignment horizontal="center" vertical="center" wrapText="1"/>
    </xf>
    <xf numFmtId="0" fontId="2" fillId="2" borderId="122" xfId="4" applyFont="1" applyFill="1" applyBorder="1" applyAlignment="1">
      <alignment horizontal="center" vertical="center" wrapText="1"/>
    </xf>
    <xf numFmtId="0" fontId="2" fillId="2" borderId="125" xfId="4" applyFont="1" applyFill="1" applyBorder="1" applyAlignment="1">
      <alignment horizontal="center" vertical="center" wrapText="1"/>
    </xf>
    <xf numFmtId="0" fontId="2" fillId="2" borderId="90" xfId="4" applyFont="1" applyFill="1" applyBorder="1" applyAlignment="1">
      <alignment horizontal="center" vertical="center" wrapText="1"/>
    </xf>
    <xf numFmtId="0" fontId="2" fillId="2" borderId="123" xfId="4" applyFont="1" applyFill="1" applyBorder="1" applyAlignment="1">
      <alignment horizontal="center" vertical="center" wrapText="1"/>
    </xf>
    <xf numFmtId="0" fontId="2" fillId="2" borderId="126" xfId="4" applyFont="1" applyFill="1" applyBorder="1" applyAlignment="1">
      <alignment horizontal="center" vertical="center" wrapText="1"/>
    </xf>
    <xf numFmtId="0" fontId="2" fillId="2" borderId="121" xfId="4" applyFont="1" applyFill="1" applyBorder="1" applyAlignment="1">
      <alignment horizontal="center" vertical="center" wrapText="1"/>
    </xf>
    <xf numFmtId="0" fontId="2" fillId="2" borderId="124" xfId="4" applyFont="1" applyFill="1" applyBorder="1" applyAlignment="1">
      <alignment horizontal="center" vertical="center" wrapText="1"/>
    </xf>
    <xf numFmtId="0" fontId="2" fillId="2" borderId="127" xfId="4" applyFont="1" applyFill="1" applyBorder="1" applyAlignment="1">
      <alignment horizontal="center" vertical="center" wrapText="1"/>
    </xf>
    <xf numFmtId="0" fontId="2" fillId="2" borderId="117" xfId="4" applyFont="1" applyFill="1" applyBorder="1" applyAlignment="1">
      <alignment horizontal="justify" vertical="center" wrapText="1"/>
    </xf>
    <xf numFmtId="0" fontId="2" fillId="2" borderId="119" xfId="4" applyFont="1" applyFill="1" applyBorder="1" applyAlignment="1">
      <alignment horizontal="justify" vertical="center" wrapText="1"/>
    </xf>
    <xf numFmtId="0" fontId="2" fillId="2" borderId="102" xfId="4" applyFont="1" applyFill="1" applyBorder="1" applyAlignment="1">
      <alignment horizontal="center" vertical="center" wrapText="1"/>
    </xf>
    <xf numFmtId="0" fontId="2" fillId="2" borderId="118" xfId="4" applyFont="1" applyFill="1" applyBorder="1" applyAlignment="1">
      <alignment wrapText="1"/>
    </xf>
    <xf numFmtId="0" fontId="2" fillId="2" borderId="103" xfId="4" applyFont="1" applyFill="1" applyBorder="1" applyAlignment="1">
      <alignment horizontal="center" vertical="center" wrapText="1"/>
    </xf>
    <xf numFmtId="0" fontId="2" fillId="2" borderId="97" xfId="4" applyFont="1" applyFill="1" applyBorder="1" applyAlignment="1">
      <alignment wrapText="1"/>
    </xf>
    <xf numFmtId="0" fontId="2" fillId="2" borderId="103" xfId="4" applyFont="1" applyFill="1" applyBorder="1" applyAlignment="1">
      <alignment horizontal="justify" vertical="center" wrapText="1"/>
    </xf>
    <xf numFmtId="0" fontId="2" fillId="2" borderId="97" xfId="4" applyFont="1" applyFill="1" applyBorder="1" applyAlignment="1">
      <alignment horizontal="justify" vertical="center" wrapText="1"/>
    </xf>
    <xf numFmtId="0" fontId="2" fillId="2" borderId="117" xfId="4" applyFont="1" applyFill="1" applyBorder="1" applyAlignment="1">
      <alignment horizontal="center" vertical="center"/>
    </xf>
    <xf numFmtId="0" fontId="2" fillId="2" borderId="119" xfId="4" applyFont="1" applyFill="1" applyBorder="1" applyAlignment="1">
      <alignment horizontal="center" vertical="center"/>
    </xf>
    <xf numFmtId="0" fontId="2" fillId="2" borderId="115" xfId="4" applyFont="1" applyFill="1" applyBorder="1" applyAlignment="1">
      <alignment horizontal="center" vertical="center"/>
    </xf>
    <xf numFmtId="0" fontId="2" fillId="2" borderId="118" xfId="4" applyFont="1" applyFill="1" applyBorder="1" applyAlignment="1">
      <alignment horizontal="center" vertical="center"/>
    </xf>
    <xf numFmtId="0" fontId="2" fillId="2" borderId="103" xfId="4" applyFont="1" applyFill="1" applyBorder="1" applyAlignment="1">
      <alignment horizontal="center" vertical="center"/>
    </xf>
    <xf numFmtId="0" fontId="2" fillId="2" borderId="97" xfId="4" applyFont="1" applyFill="1" applyBorder="1" applyAlignment="1">
      <alignment horizontal="center" vertical="center"/>
    </xf>
    <xf numFmtId="0" fontId="27" fillId="2" borderId="89" xfId="4" applyFont="1" applyFill="1" applyBorder="1" applyAlignment="1">
      <alignment horizontal="center" vertical="center"/>
    </xf>
    <xf numFmtId="0" fontId="27" fillId="2" borderId="111" xfId="4" applyFont="1" applyFill="1" applyBorder="1" applyAlignment="1">
      <alignment horizontal="center" vertical="center"/>
    </xf>
    <xf numFmtId="0" fontId="27" fillId="2" borderId="90" xfId="4" applyFont="1" applyFill="1" applyBorder="1" applyAlignment="1">
      <alignment horizontal="center" vertical="center"/>
    </xf>
    <xf numFmtId="0" fontId="27" fillId="2" borderId="91" xfId="4" applyFont="1" applyFill="1" applyBorder="1" applyAlignment="1">
      <alignment horizontal="center" vertical="center"/>
    </xf>
    <xf numFmtId="0" fontId="27" fillId="2" borderId="112" xfId="4" applyFont="1" applyFill="1" applyBorder="1" applyAlignment="1">
      <alignment horizontal="center" vertical="center"/>
    </xf>
    <xf numFmtId="0" fontId="27" fillId="2" borderId="130" xfId="4" applyFont="1" applyFill="1" applyBorder="1" applyAlignment="1">
      <alignment horizontal="center" vertical="center" wrapText="1"/>
    </xf>
    <xf numFmtId="0" fontId="27" fillId="2" borderId="128" xfId="4" applyFont="1" applyFill="1" applyBorder="1" applyAlignment="1">
      <alignment horizontal="center" vertical="center" wrapText="1"/>
    </xf>
    <xf numFmtId="0" fontId="27" fillId="2" borderId="129" xfId="4" applyFont="1" applyFill="1" applyBorder="1" applyAlignment="1">
      <alignment horizontal="center" vertical="center" wrapText="1"/>
    </xf>
    <xf numFmtId="0" fontId="27" fillId="2" borderId="128" xfId="4" applyFont="1" applyFill="1" applyBorder="1" applyAlignment="1">
      <alignment horizontal="center" vertical="center"/>
    </xf>
    <xf numFmtId="0" fontId="27" fillId="2" borderId="129" xfId="4" applyFont="1" applyFill="1" applyBorder="1" applyAlignment="1">
      <alignment horizontal="center" vertical="center"/>
    </xf>
    <xf numFmtId="0" fontId="3" fillId="2" borderId="128" xfId="4" applyFont="1" applyFill="1" applyBorder="1" applyAlignment="1">
      <alignment horizontal="center" vertical="center"/>
    </xf>
    <xf numFmtId="0" fontId="2" fillId="2" borderId="113" xfId="4" applyFont="1" applyFill="1" applyBorder="1" applyAlignment="1"/>
    <xf numFmtId="0" fontId="3" fillId="2" borderId="129" xfId="4" applyFont="1" applyFill="1" applyBorder="1" applyAlignment="1">
      <alignment horizontal="center" vertical="center"/>
    </xf>
    <xf numFmtId="0" fontId="2" fillId="2" borderId="97" xfId="4" applyFont="1" applyFill="1" applyBorder="1" applyAlignment="1"/>
    <xf numFmtId="0" fontId="3" fillId="2" borderId="97" xfId="4" applyFont="1" applyFill="1" applyBorder="1" applyAlignment="1"/>
    <xf numFmtId="0" fontId="3" fillId="2" borderId="130" xfId="4" applyFont="1" applyFill="1" applyBorder="1" applyAlignment="1">
      <alignment horizontal="center" vertical="center"/>
    </xf>
    <xf numFmtId="0" fontId="2" fillId="2" borderId="114" xfId="4" applyFont="1" applyFill="1" applyBorder="1" applyAlignment="1"/>
    <xf numFmtId="0" fontId="27" fillId="2" borderId="105" xfId="4" applyFont="1" applyFill="1" applyBorder="1" applyAlignment="1">
      <alignment horizontal="center" vertical="center"/>
    </xf>
    <xf numFmtId="0" fontId="27" fillId="2" borderId="98" xfId="4" applyFont="1" applyFill="1" applyBorder="1" applyAlignment="1">
      <alignment horizontal="center" vertical="center"/>
    </xf>
    <xf numFmtId="0" fontId="27" fillId="2" borderId="130" xfId="4" applyFont="1" applyFill="1" applyBorder="1" applyAlignment="1">
      <alignment horizontal="center" vertical="center"/>
    </xf>
    <xf numFmtId="0" fontId="27" fillId="2" borderId="106" xfId="4" applyFont="1" applyFill="1" applyBorder="1" applyAlignment="1">
      <alignment horizontal="center" vertical="center"/>
    </xf>
    <xf numFmtId="0" fontId="2" fillId="2" borderId="128" xfId="4" applyFont="1" applyFill="1" applyBorder="1" applyAlignment="1">
      <alignment horizontal="center" vertical="center"/>
    </xf>
    <xf numFmtId="0" fontId="2" fillId="2" borderId="129" xfId="4" applyFont="1" applyFill="1" applyBorder="1" applyAlignment="1">
      <alignment horizontal="center" vertical="center"/>
    </xf>
    <xf numFmtId="0" fontId="2" fillId="2" borderId="130" xfId="4" applyFont="1" applyFill="1" applyBorder="1" applyAlignment="1">
      <alignment horizontal="center" vertical="center"/>
    </xf>
    <xf numFmtId="0" fontId="2" fillId="2" borderId="117" xfId="4" applyFont="1" applyFill="1" applyBorder="1" applyAlignment="1">
      <alignment horizontal="center" vertical="center" wrapText="1"/>
    </xf>
    <xf numFmtId="0" fontId="2" fillId="2" borderId="119" xfId="4" applyFont="1" applyFill="1" applyBorder="1" applyAlignment="1">
      <alignment horizontal="center" vertical="center" wrapText="1"/>
    </xf>
    <xf numFmtId="0" fontId="2" fillId="2" borderId="115" xfId="4" applyFont="1" applyFill="1" applyBorder="1" applyAlignment="1">
      <alignment horizontal="center" vertical="center" wrapText="1"/>
    </xf>
    <xf numFmtId="0" fontId="2" fillId="2" borderId="113" xfId="4" applyFont="1" applyFill="1" applyBorder="1" applyAlignment="1">
      <alignment horizontal="center" vertical="center" wrapText="1"/>
    </xf>
    <xf numFmtId="0" fontId="2" fillId="2" borderId="118" xfId="4" applyFont="1" applyFill="1" applyBorder="1" applyAlignment="1">
      <alignment horizontal="center" vertical="center" wrapText="1"/>
    </xf>
    <xf numFmtId="0" fontId="2" fillId="2" borderId="129" xfId="4" applyFont="1" applyFill="1" applyBorder="1" applyAlignment="1">
      <alignment horizontal="center" vertical="center" wrapText="1"/>
    </xf>
    <xf numFmtId="0" fontId="2" fillId="2" borderId="118" xfId="4" applyFont="1" applyFill="1" applyBorder="1" applyAlignment="1"/>
    <xf numFmtId="0" fontId="2" fillId="2" borderId="119" xfId="4" applyFont="1" applyFill="1" applyBorder="1" applyAlignment="1"/>
    <xf numFmtId="0" fontId="27" fillId="2" borderId="115" xfId="4" applyFont="1" applyFill="1" applyBorder="1" applyAlignment="1">
      <alignment horizontal="center" vertical="center"/>
    </xf>
    <xf numFmtId="0" fontId="27" fillId="2" borderId="118" xfId="4" applyFont="1" applyFill="1" applyBorder="1" applyAlignment="1"/>
    <xf numFmtId="0" fontId="18" fillId="10" borderId="0" xfId="0" applyFont="1" applyFill="1" applyBorder="1" applyAlignment="1">
      <alignment horizontal="center" vertical="center"/>
    </xf>
    <xf numFmtId="0" fontId="18" fillId="10" borderId="26" xfId="0" applyFont="1" applyFill="1" applyBorder="1" applyAlignment="1">
      <alignment horizontal="center" vertical="center"/>
    </xf>
    <xf numFmtId="0" fontId="15" fillId="8" borderId="51" xfId="0" applyFont="1" applyFill="1" applyBorder="1" applyAlignment="1">
      <alignment horizontal="center" vertical="center"/>
    </xf>
    <xf numFmtId="0" fontId="15" fillId="8" borderId="59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16" fillId="7" borderId="45" xfId="0" applyFont="1" applyFill="1" applyBorder="1" applyAlignment="1">
      <alignment horizontal="left" vertical="center"/>
    </xf>
    <xf numFmtId="0" fontId="16" fillId="7" borderId="46" xfId="0" applyFont="1" applyFill="1" applyBorder="1" applyAlignment="1">
      <alignment horizontal="left" vertical="center"/>
    </xf>
    <xf numFmtId="0" fontId="18" fillId="10" borderId="71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0" fontId="18" fillId="10" borderId="48" xfId="0" applyFont="1" applyFill="1" applyBorder="1" applyAlignment="1">
      <alignment horizontal="center" vertical="center"/>
    </xf>
  </cellXfs>
  <cellStyles count="7">
    <cellStyle name="Hiperlink" xfId="1" builtinId="8"/>
    <cellStyle name="Normal" xfId="0" builtinId="0"/>
    <cellStyle name="Normal 2" xfId="2"/>
    <cellStyle name="Normal 3" xfId="4"/>
    <cellStyle name="Percentagem 2" xfId="6"/>
    <cellStyle name="Vírgula 2" xfId="3"/>
    <cellStyle name="Vírgula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4</xdr:col>
      <xdr:colOff>1828800</xdr:colOff>
      <xdr:row>2</xdr:row>
      <xdr:rowOff>9525</xdr:rowOff>
    </xdr:to>
    <xdr:pic>
      <xdr:nvPicPr>
        <xdr:cNvPr id="7850" name="Picture 1" descr="bann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5275"/>
          <a:ext cx="661035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</xdr:row>
      <xdr:rowOff>47625</xdr:rowOff>
    </xdr:from>
    <xdr:to>
      <xdr:col>0</xdr:col>
      <xdr:colOff>390525</xdr:colOff>
      <xdr:row>4</xdr:row>
      <xdr:rowOff>133350</xdr:rowOff>
    </xdr:to>
    <xdr:pic>
      <xdr:nvPicPr>
        <xdr:cNvPr id="7852" name="Picture 3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6003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5</xdr:row>
      <xdr:rowOff>47625</xdr:rowOff>
    </xdr:from>
    <xdr:to>
      <xdr:col>0</xdr:col>
      <xdr:colOff>390525</xdr:colOff>
      <xdr:row>5</xdr:row>
      <xdr:rowOff>133350</xdr:rowOff>
    </xdr:to>
    <xdr:pic>
      <xdr:nvPicPr>
        <xdr:cNvPr id="7853" name="Picture 4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7622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6</xdr:row>
      <xdr:rowOff>47625</xdr:rowOff>
    </xdr:from>
    <xdr:to>
      <xdr:col>0</xdr:col>
      <xdr:colOff>390525</xdr:colOff>
      <xdr:row>6</xdr:row>
      <xdr:rowOff>133350</xdr:rowOff>
    </xdr:to>
    <xdr:pic>
      <xdr:nvPicPr>
        <xdr:cNvPr id="7854" name="Picture 5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9241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2276475</xdr:colOff>
      <xdr:row>3</xdr:row>
      <xdr:rowOff>104775</xdr:rowOff>
    </xdr:from>
    <xdr:to>
      <xdr:col>1</xdr:col>
      <xdr:colOff>2362200</xdr:colOff>
      <xdr:row>4</xdr:row>
      <xdr:rowOff>104775</xdr:rowOff>
    </xdr:to>
    <xdr:grpSp>
      <xdr:nvGrpSpPr>
        <xdr:cNvPr id="7855" name="Group 8"/>
        <xdr:cNvGrpSpPr>
          <a:grpSpLocks/>
        </xdr:cNvGrpSpPr>
      </xdr:nvGrpSpPr>
      <xdr:grpSpPr bwMode="auto">
        <a:xfrm>
          <a:off x="2714625" y="2390775"/>
          <a:ext cx="85725" cy="266700"/>
          <a:chOff x="257" y="251"/>
          <a:chExt cx="9" cy="28"/>
        </a:xfrm>
      </xdr:grpSpPr>
      <xdr:sp macro="" textlink="">
        <xdr:nvSpPr>
          <xdr:cNvPr id="7870" name="Line 9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7871" name="Line 10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190500</xdr:colOff>
      <xdr:row>3</xdr:row>
      <xdr:rowOff>95250</xdr:rowOff>
    </xdr:from>
    <xdr:to>
      <xdr:col>0</xdr:col>
      <xdr:colOff>276225</xdr:colOff>
      <xdr:row>4</xdr:row>
      <xdr:rowOff>95250</xdr:rowOff>
    </xdr:to>
    <xdr:grpSp>
      <xdr:nvGrpSpPr>
        <xdr:cNvPr id="7856" name="Group 11"/>
        <xdr:cNvGrpSpPr>
          <a:grpSpLocks/>
        </xdr:cNvGrpSpPr>
      </xdr:nvGrpSpPr>
      <xdr:grpSpPr bwMode="auto">
        <a:xfrm>
          <a:off x="190500" y="2381250"/>
          <a:ext cx="85725" cy="266700"/>
          <a:chOff x="257" y="251"/>
          <a:chExt cx="9" cy="28"/>
        </a:xfrm>
      </xdr:grpSpPr>
      <xdr:sp macro="" textlink="">
        <xdr:nvSpPr>
          <xdr:cNvPr id="7868" name="Line 12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7869" name="Line 13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1</xdr:row>
      <xdr:rowOff>9525</xdr:rowOff>
    </xdr:from>
    <xdr:to>
      <xdr:col>4</xdr:col>
      <xdr:colOff>1828800</xdr:colOff>
      <xdr:row>2</xdr:row>
      <xdr:rowOff>9525</xdr:rowOff>
    </xdr:to>
    <xdr:pic>
      <xdr:nvPicPr>
        <xdr:cNvPr id="7857" name="Picture 14" descr="banne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5275"/>
          <a:ext cx="661035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</xdr:row>
      <xdr:rowOff>47625</xdr:rowOff>
    </xdr:from>
    <xdr:to>
      <xdr:col>0</xdr:col>
      <xdr:colOff>390525</xdr:colOff>
      <xdr:row>4</xdr:row>
      <xdr:rowOff>133350</xdr:rowOff>
    </xdr:to>
    <xdr:pic>
      <xdr:nvPicPr>
        <xdr:cNvPr id="7859" name="Picture 16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6003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5</xdr:row>
      <xdr:rowOff>47625</xdr:rowOff>
    </xdr:from>
    <xdr:to>
      <xdr:col>0</xdr:col>
      <xdr:colOff>390525</xdr:colOff>
      <xdr:row>5</xdr:row>
      <xdr:rowOff>133350</xdr:rowOff>
    </xdr:to>
    <xdr:pic>
      <xdr:nvPicPr>
        <xdr:cNvPr id="7860" name="Picture 17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7622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6</xdr:row>
      <xdr:rowOff>47625</xdr:rowOff>
    </xdr:from>
    <xdr:to>
      <xdr:col>0</xdr:col>
      <xdr:colOff>390525</xdr:colOff>
      <xdr:row>6</xdr:row>
      <xdr:rowOff>133350</xdr:rowOff>
    </xdr:to>
    <xdr:pic>
      <xdr:nvPicPr>
        <xdr:cNvPr id="7861" name="Picture 18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9241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2276475</xdr:colOff>
      <xdr:row>3</xdr:row>
      <xdr:rowOff>104775</xdr:rowOff>
    </xdr:from>
    <xdr:to>
      <xdr:col>1</xdr:col>
      <xdr:colOff>2362200</xdr:colOff>
      <xdr:row>4</xdr:row>
      <xdr:rowOff>104775</xdr:rowOff>
    </xdr:to>
    <xdr:grpSp>
      <xdr:nvGrpSpPr>
        <xdr:cNvPr id="7862" name="Group 21"/>
        <xdr:cNvGrpSpPr>
          <a:grpSpLocks/>
        </xdr:cNvGrpSpPr>
      </xdr:nvGrpSpPr>
      <xdr:grpSpPr bwMode="auto">
        <a:xfrm>
          <a:off x="2714625" y="2390775"/>
          <a:ext cx="85725" cy="266700"/>
          <a:chOff x="257" y="251"/>
          <a:chExt cx="9" cy="28"/>
        </a:xfrm>
      </xdr:grpSpPr>
      <xdr:sp macro="" textlink="">
        <xdr:nvSpPr>
          <xdr:cNvPr id="7866" name="Line 22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7867" name="Line 23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190500</xdr:colOff>
      <xdr:row>3</xdr:row>
      <xdr:rowOff>95250</xdr:rowOff>
    </xdr:from>
    <xdr:to>
      <xdr:col>0</xdr:col>
      <xdr:colOff>276225</xdr:colOff>
      <xdr:row>4</xdr:row>
      <xdr:rowOff>95250</xdr:rowOff>
    </xdr:to>
    <xdr:grpSp>
      <xdr:nvGrpSpPr>
        <xdr:cNvPr id="7863" name="Group 24"/>
        <xdr:cNvGrpSpPr>
          <a:grpSpLocks/>
        </xdr:cNvGrpSpPr>
      </xdr:nvGrpSpPr>
      <xdr:grpSpPr bwMode="auto">
        <a:xfrm>
          <a:off x="190500" y="2381250"/>
          <a:ext cx="85725" cy="266700"/>
          <a:chOff x="257" y="251"/>
          <a:chExt cx="9" cy="28"/>
        </a:xfrm>
      </xdr:grpSpPr>
      <xdr:sp macro="" textlink="">
        <xdr:nvSpPr>
          <xdr:cNvPr id="7864" name="Line 25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7865" name="Line 26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276225</xdr:colOff>
      <xdr:row>11</xdr:row>
      <xdr:rowOff>47625</xdr:rowOff>
    </xdr:from>
    <xdr:to>
      <xdr:col>0</xdr:col>
      <xdr:colOff>390525</xdr:colOff>
      <xdr:row>11</xdr:row>
      <xdr:rowOff>133350</xdr:rowOff>
    </xdr:to>
    <xdr:pic>
      <xdr:nvPicPr>
        <xdr:cNvPr id="24" name="Picture 3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6003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12</xdr:row>
      <xdr:rowOff>47625</xdr:rowOff>
    </xdr:from>
    <xdr:to>
      <xdr:col>0</xdr:col>
      <xdr:colOff>390525</xdr:colOff>
      <xdr:row>12</xdr:row>
      <xdr:rowOff>133350</xdr:rowOff>
    </xdr:to>
    <xdr:pic>
      <xdr:nvPicPr>
        <xdr:cNvPr id="25" name="Picture 4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7622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13</xdr:row>
      <xdr:rowOff>47625</xdr:rowOff>
    </xdr:from>
    <xdr:to>
      <xdr:col>0</xdr:col>
      <xdr:colOff>390525</xdr:colOff>
      <xdr:row>13</xdr:row>
      <xdr:rowOff>133350</xdr:rowOff>
    </xdr:to>
    <xdr:pic>
      <xdr:nvPicPr>
        <xdr:cNvPr id="26" name="Picture 5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9241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14</xdr:row>
      <xdr:rowOff>47625</xdr:rowOff>
    </xdr:from>
    <xdr:to>
      <xdr:col>0</xdr:col>
      <xdr:colOff>390525</xdr:colOff>
      <xdr:row>14</xdr:row>
      <xdr:rowOff>133350</xdr:rowOff>
    </xdr:to>
    <xdr:pic>
      <xdr:nvPicPr>
        <xdr:cNvPr id="27" name="Picture 6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0861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15</xdr:row>
      <xdr:rowOff>47625</xdr:rowOff>
    </xdr:from>
    <xdr:to>
      <xdr:col>0</xdr:col>
      <xdr:colOff>390525</xdr:colOff>
      <xdr:row>15</xdr:row>
      <xdr:rowOff>133350</xdr:rowOff>
    </xdr:to>
    <xdr:pic>
      <xdr:nvPicPr>
        <xdr:cNvPr id="28" name="Picture 7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2480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2276475</xdr:colOff>
      <xdr:row>10</xdr:row>
      <xdr:rowOff>104775</xdr:rowOff>
    </xdr:from>
    <xdr:to>
      <xdr:col>1</xdr:col>
      <xdr:colOff>2362200</xdr:colOff>
      <xdr:row>11</xdr:row>
      <xdr:rowOff>104775</xdr:rowOff>
    </xdr:to>
    <xdr:grpSp>
      <xdr:nvGrpSpPr>
        <xdr:cNvPr id="29" name="Group 8"/>
        <xdr:cNvGrpSpPr>
          <a:grpSpLocks/>
        </xdr:cNvGrpSpPr>
      </xdr:nvGrpSpPr>
      <xdr:grpSpPr bwMode="auto">
        <a:xfrm>
          <a:off x="2714625" y="3629025"/>
          <a:ext cx="85725" cy="161925"/>
          <a:chOff x="257" y="251"/>
          <a:chExt cx="9" cy="28"/>
        </a:xfrm>
      </xdr:grpSpPr>
      <xdr:sp macro="" textlink="">
        <xdr:nvSpPr>
          <xdr:cNvPr id="30" name="Line 9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31" name="Line 10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190500</xdr:colOff>
      <xdr:row>10</xdr:row>
      <xdr:rowOff>95250</xdr:rowOff>
    </xdr:from>
    <xdr:to>
      <xdr:col>0</xdr:col>
      <xdr:colOff>276225</xdr:colOff>
      <xdr:row>11</xdr:row>
      <xdr:rowOff>95250</xdr:rowOff>
    </xdr:to>
    <xdr:grpSp>
      <xdr:nvGrpSpPr>
        <xdr:cNvPr id="32" name="Group 11"/>
        <xdr:cNvGrpSpPr>
          <a:grpSpLocks/>
        </xdr:cNvGrpSpPr>
      </xdr:nvGrpSpPr>
      <xdr:grpSpPr bwMode="auto">
        <a:xfrm>
          <a:off x="190500" y="3619500"/>
          <a:ext cx="85725" cy="161925"/>
          <a:chOff x="257" y="251"/>
          <a:chExt cx="9" cy="28"/>
        </a:xfrm>
      </xdr:grpSpPr>
      <xdr:sp macro="" textlink="">
        <xdr:nvSpPr>
          <xdr:cNvPr id="33" name="Line 12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34" name="Line 13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276225</xdr:colOff>
      <xdr:row>11</xdr:row>
      <xdr:rowOff>47625</xdr:rowOff>
    </xdr:from>
    <xdr:to>
      <xdr:col>0</xdr:col>
      <xdr:colOff>390525</xdr:colOff>
      <xdr:row>11</xdr:row>
      <xdr:rowOff>133350</xdr:rowOff>
    </xdr:to>
    <xdr:pic>
      <xdr:nvPicPr>
        <xdr:cNvPr id="35" name="Picture 16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6003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12</xdr:row>
      <xdr:rowOff>47625</xdr:rowOff>
    </xdr:from>
    <xdr:to>
      <xdr:col>0</xdr:col>
      <xdr:colOff>390525</xdr:colOff>
      <xdr:row>12</xdr:row>
      <xdr:rowOff>133350</xdr:rowOff>
    </xdr:to>
    <xdr:pic>
      <xdr:nvPicPr>
        <xdr:cNvPr id="36" name="Picture 17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7622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13</xdr:row>
      <xdr:rowOff>47625</xdr:rowOff>
    </xdr:from>
    <xdr:to>
      <xdr:col>0</xdr:col>
      <xdr:colOff>390525</xdr:colOff>
      <xdr:row>13</xdr:row>
      <xdr:rowOff>133350</xdr:rowOff>
    </xdr:to>
    <xdr:pic>
      <xdr:nvPicPr>
        <xdr:cNvPr id="37" name="Picture 18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29241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14</xdr:row>
      <xdr:rowOff>47625</xdr:rowOff>
    </xdr:from>
    <xdr:to>
      <xdr:col>0</xdr:col>
      <xdr:colOff>390525</xdr:colOff>
      <xdr:row>14</xdr:row>
      <xdr:rowOff>133350</xdr:rowOff>
    </xdr:to>
    <xdr:pic>
      <xdr:nvPicPr>
        <xdr:cNvPr id="38" name="Picture 19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0861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15</xdr:row>
      <xdr:rowOff>47625</xdr:rowOff>
    </xdr:from>
    <xdr:to>
      <xdr:col>0</xdr:col>
      <xdr:colOff>390525</xdr:colOff>
      <xdr:row>15</xdr:row>
      <xdr:rowOff>133350</xdr:rowOff>
    </xdr:to>
    <xdr:pic>
      <xdr:nvPicPr>
        <xdr:cNvPr id="39" name="Picture 20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2480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2276475</xdr:colOff>
      <xdr:row>10</xdr:row>
      <xdr:rowOff>104775</xdr:rowOff>
    </xdr:from>
    <xdr:to>
      <xdr:col>1</xdr:col>
      <xdr:colOff>2362200</xdr:colOff>
      <xdr:row>11</xdr:row>
      <xdr:rowOff>104775</xdr:rowOff>
    </xdr:to>
    <xdr:grpSp>
      <xdr:nvGrpSpPr>
        <xdr:cNvPr id="40" name="Group 21"/>
        <xdr:cNvGrpSpPr>
          <a:grpSpLocks/>
        </xdr:cNvGrpSpPr>
      </xdr:nvGrpSpPr>
      <xdr:grpSpPr bwMode="auto">
        <a:xfrm>
          <a:off x="2714625" y="3629025"/>
          <a:ext cx="85725" cy="161925"/>
          <a:chOff x="257" y="251"/>
          <a:chExt cx="9" cy="28"/>
        </a:xfrm>
      </xdr:grpSpPr>
      <xdr:sp macro="" textlink="">
        <xdr:nvSpPr>
          <xdr:cNvPr id="41" name="Line 22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42" name="Line 23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190500</xdr:colOff>
      <xdr:row>10</xdr:row>
      <xdr:rowOff>95250</xdr:rowOff>
    </xdr:from>
    <xdr:to>
      <xdr:col>0</xdr:col>
      <xdr:colOff>276225</xdr:colOff>
      <xdr:row>11</xdr:row>
      <xdr:rowOff>95250</xdr:rowOff>
    </xdr:to>
    <xdr:grpSp>
      <xdr:nvGrpSpPr>
        <xdr:cNvPr id="43" name="Group 24"/>
        <xdr:cNvGrpSpPr>
          <a:grpSpLocks/>
        </xdr:cNvGrpSpPr>
      </xdr:nvGrpSpPr>
      <xdr:grpSpPr bwMode="auto">
        <a:xfrm>
          <a:off x="190500" y="3619500"/>
          <a:ext cx="85725" cy="161925"/>
          <a:chOff x="257" y="251"/>
          <a:chExt cx="9" cy="28"/>
        </a:xfrm>
      </xdr:grpSpPr>
      <xdr:sp macro="" textlink="">
        <xdr:nvSpPr>
          <xdr:cNvPr id="44" name="Line 25"/>
          <xdr:cNvSpPr>
            <a:spLocks noChangeShapeType="1"/>
          </xdr:cNvSpPr>
        </xdr:nvSpPr>
        <xdr:spPr bwMode="auto">
          <a:xfrm>
            <a:off x="257" y="251"/>
            <a:ext cx="0" cy="28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45" name="Line 26"/>
          <xdr:cNvSpPr>
            <a:spLocks noChangeShapeType="1"/>
          </xdr:cNvSpPr>
        </xdr:nvSpPr>
        <xdr:spPr bwMode="auto">
          <a:xfrm>
            <a:off x="257" y="251"/>
            <a:ext cx="9" cy="0"/>
          </a:xfrm>
          <a:prstGeom prst="line">
            <a:avLst/>
          </a:prstGeom>
          <a:noFill/>
          <a:ln w="9525">
            <a:solidFill>
              <a:srgbClr val="FFFFFF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276225</xdr:colOff>
      <xdr:row>16</xdr:row>
      <xdr:rowOff>47625</xdr:rowOff>
    </xdr:from>
    <xdr:to>
      <xdr:col>0</xdr:col>
      <xdr:colOff>390525</xdr:colOff>
      <xdr:row>16</xdr:row>
      <xdr:rowOff>133350</xdr:rowOff>
    </xdr:to>
    <xdr:pic>
      <xdr:nvPicPr>
        <xdr:cNvPr id="46" name="Picture 27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4099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17</xdr:row>
      <xdr:rowOff>47625</xdr:rowOff>
    </xdr:from>
    <xdr:to>
      <xdr:col>0</xdr:col>
      <xdr:colOff>390525</xdr:colOff>
      <xdr:row>17</xdr:row>
      <xdr:rowOff>133350</xdr:rowOff>
    </xdr:to>
    <xdr:pic>
      <xdr:nvPicPr>
        <xdr:cNvPr id="47" name="Picture 28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5718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18</xdr:row>
      <xdr:rowOff>47625</xdr:rowOff>
    </xdr:from>
    <xdr:to>
      <xdr:col>0</xdr:col>
      <xdr:colOff>390525</xdr:colOff>
      <xdr:row>18</xdr:row>
      <xdr:rowOff>133350</xdr:rowOff>
    </xdr:to>
    <xdr:pic>
      <xdr:nvPicPr>
        <xdr:cNvPr id="48" name="Picture 29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7338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19</xdr:row>
      <xdr:rowOff>47625</xdr:rowOff>
    </xdr:from>
    <xdr:to>
      <xdr:col>0</xdr:col>
      <xdr:colOff>390525</xdr:colOff>
      <xdr:row>19</xdr:row>
      <xdr:rowOff>133350</xdr:rowOff>
    </xdr:to>
    <xdr:pic>
      <xdr:nvPicPr>
        <xdr:cNvPr id="49" name="Picture 30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38957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20</xdr:row>
      <xdr:rowOff>47625</xdr:rowOff>
    </xdr:from>
    <xdr:to>
      <xdr:col>0</xdr:col>
      <xdr:colOff>390525</xdr:colOff>
      <xdr:row>20</xdr:row>
      <xdr:rowOff>133350</xdr:rowOff>
    </xdr:to>
    <xdr:pic>
      <xdr:nvPicPr>
        <xdr:cNvPr id="50" name="Picture 31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40576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21</xdr:row>
      <xdr:rowOff>47625</xdr:rowOff>
    </xdr:from>
    <xdr:to>
      <xdr:col>0</xdr:col>
      <xdr:colOff>390525</xdr:colOff>
      <xdr:row>21</xdr:row>
      <xdr:rowOff>133350</xdr:rowOff>
    </xdr:to>
    <xdr:pic>
      <xdr:nvPicPr>
        <xdr:cNvPr id="51" name="Picture 32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42195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22</xdr:row>
      <xdr:rowOff>47625</xdr:rowOff>
    </xdr:from>
    <xdr:to>
      <xdr:col>0</xdr:col>
      <xdr:colOff>390525</xdr:colOff>
      <xdr:row>22</xdr:row>
      <xdr:rowOff>133350</xdr:rowOff>
    </xdr:to>
    <xdr:pic>
      <xdr:nvPicPr>
        <xdr:cNvPr id="52" name="Picture 33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43815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23</xdr:row>
      <xdr:rowOff>47625</xdr:rowOff>
    </xdr:from>
    <xdr:to>
      <xdr:col>0</xdr:col>
      <xdr:colOff>390525</xdr:colOff>
      <xdr:row>23</xdr:row>
      <xdr:rowOff>133350</xdr:rowOff>
    </xdr:to>
    <xdr:pic>
      <xdr:nvPicPr>
        <xdr:cNvPr id="53" name="Picture 34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45434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24</xdr:row>
      <xdr:rowOff>47625</xdr:rowOff>
    </xdr:from>
    <xdr:to>
      <xdr:col>0</xdr:col>
      <xdr:colOff>390525</xdr:colOff>
      <xdr:row>24</xdr:row>
      <xdr:rowOff>133350</xdr:rowOff>
    </xdr:to>
    <xdr:pic>
      <xdr:nvPicPr>
        <xdr:cNvPr id="54" name="Picture 35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47053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25</xdr:row>
      <xdr:rowOff>47625</xdr:rowOff>
    </xdr:from>
    <xdr:to>
      <xdr:col>0</xdr:col>
      <xdr:colOff>390525</xdr:colOff>
      <xdr:row>25</xdr:row>
      <xdr:rowOff>133350</xdr:rowOff>
    </xdr:to>
    <xdr:pic>
      <xdr:nvPicPr>
        <xdr:cNvPr id="55" name="Picture 36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48672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26</xdr:row>
      <xdr:rowOff>47625</xdr:rowOff>
    </xdr:from>
    <xdr:to>
      <xdr:col>0</xdr:col>
      <xdr:colOff>390525</xdr:colOff>
      <xdr:row>26</xdr:row>
      <xdr:rowOff>133350</xdr:rowOff>
    </xdr:to>
    <xdr:pic>
      <xdr:nvPicPr>
        <xdr:cNvPr id="56" name="Picture 37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50292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27</xdr:row>
      <xdr:rowOff>47625</xdr:rowOff>
    </xdr:from>
    <xdr:to>
      <xdr:col>0</xdr:col>
      <xdr:colOff>390525</xdr:colOff>
      <xdr:row>27</xdr:row>
      <xdr:rowOff>133350</xdr:rowOff>
    </xdr:to>
    <xdr:pic>
      <xdr:nvPicPr>
        <xdr:cNvPr id="57" name="Picture 38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51911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28</xdr:row>
      <xdr:rowOff>47625</xdr:rowOff>
    </xdr:from>
    <xdr:to>
      <xdr:col>0</xdr:col>
      <xdr:colOff>390525</xdr:colOff>
      <xdr:row>28</xdr:row>
      <xdr:rowOff>133350</xdr:rowOff>
    </xdr:to>
    <xdr:pic>
      <xdr:nvPicPr>
        <xdr:cNvPr id="58" name="Picture 39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53530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29</xdr:row>
      <xdr:rowOff>47625</xdr:rowOff>
    </xdr:from>
    <xdr:to>
      <xdr:col>0</xdr:col>
      <xdr:colOff>390525</xdr:colOff>
      <xdr:row>29</xdr:row>
      <xdr:rowOff>133350</xdr:rowOff>
    </xdr:to>
    <xdr:pic>
      <xdr:nvPicPr>
        <xdr:cNvPr id="59" name="Picture 40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55149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30</xdr:row>
      <xdr:rowOff>47625</xdr:rowOff>
    </xdr:from>
    <xdr:to>
      <xdr:col>0</xdr:col>
      <xdr:colOff>390525</xdr:colOff>
      <xdr:row>30</xdr:row>
      <xdr:rowOff>133350</xdr:rowOff>
    </xdr:to>
    <xdr:pic>
      <xdr:nvPicPr>
        <xdr:cNvPr id="60" name="Picture 41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56769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31</xdr:row>
      <xdr:rowOff>47625</xdr:rowOff>
    </xdr:from>
    <xdr:to>
      <xdr:col>0</xdr:col>
      <xdr:colOff>390525</xdr:colOff>
      <xdr:row>31</xdr:row>
      <xdr:rowOff>133350</xdr:rowOff>
    </xdr:to>
    <xdr:pic>
      <xdr:nvPicPr>
        <xdr:cNvPr id="61" name="Picture 42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58388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32</xdr:row>
      <xdr:rowOff>47625</xdr:rowOff>
    </xdr:from>
    <xdr:to>
      <xdr:col>0</xdr:col>
      <xdr:colOff>390525</xdr:colOff>
      <xdr:row>32</xdr:row>
      <xdr:rowOff>133350</xdr:rowOff>
    </xdr:to>
    <xdr:pic>
      <xdr:nvPicPr>
        <xdr:cNvPr id="62" name="Picture 43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60007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33</xdr:row>
      <xdr:rowOff>47625</xdr:rowOff>
    </xdr:from>
    <xdr:to>
      <xdr:col>0</xdr:col>
      <xdr:colOff>390525</xdr:colOff>
      <xdr:row>33</xdr:row>
      <xdr:rowOff>133350</xdr:rowOff>
    </xdr:to>
    <xdr:pic>
      <xdr:nvPicPr>
        <xdr:cNvPr id="63" name="Picture 44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61626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34</xdr:row>
      <xdr:rowOff>47625</xdr:rowOff>
    </xdr:from>
    <xdr:to>
      <xdr:col>0</xdr:col>
      <xdr:colOff>390525</xdr:colOff>
      <xdr:row>34</xdr:row>
      <xdr:rowOff>133350</xdr:rowOff>
    </xdr:to>
    <xdr:pic>
      <xdr:nvPicPr>
        <xdr:cNvPr id="64" name="Picture 45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63246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35</xdr:row>
      <xdr:rowOff>47625</xdr:rowOff>
    </xdr:from>
    <xdr:to>
      <xdr:col>0</xdr:col>
      <xdr:colOff>390525</xdr:colOff>
      <xdr:row>35</xdr:row>
      <xdr:rowOff>133350</xdr:rowOff>
    </xdr:to>
    <xdr:pic>
      <xdr:nvPicPr>
        <xdr:cNvPr id="65" name="Picture 46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64865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36</xdr:row>
      <xdr:rowOff>47625</xdr:rowOff>
    </xdr:from>
    <xdr:to>
      <xdr:col>0</xdr:col>
      <xdr:colOff>390525</xdr:colOff>
      <xdr:row>36</xdr:row>
      <xdr:rowOff>133350</xdr:rowOff>
    </xdr:to>
    <xdr:pic>
      <xdr:nvPicPr>
        <xdr:cNvPr id="66" name="Picture 47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66484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37</xdr:row>
      <xdr:rowOff>47625</xdr:rowOff>
    </xdr:from>
    <xdr:to>
      <xdr:col>0</xdr:col>
      <xdr:colOff>390525</xdr:colOff>
      <xdr:row>37</xdr:row>
      <xdr:rowOff>133350</xdr:rowOff>
    </xdr:to>
    <xdr:pic>
      <xdr:nvPicPr>
        <xdr:cNvPr id="67" name="Picture 48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68103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38</xdr:row>
      <xdr:rowOff>47625</xdr:rowOff>
    </xdr:from>
    <xdr:to>
      <xdr:col>0</xdr:col>
      <xdr:colOff>390525</xdr:colOff>
      <xdr:row>38</xdr:row>
      <xdr:rowOff>133350</xdr:rowOff>
    </xdr:to>
    <xdr:pic>
      <xdr:nvPicPr>
        <xdr:cNvPr id="68" name="Picture 49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69723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39</xdr:row>
      <xdr:rowOff>47625</xdr:rowOff>
    </xdr:from>
    <xdr:to>
      <xdr:col>0</xdr:col>
      <xdr:colOff>390525</xdr:colOff>
      <xdr:row>39</xdr:row>
      <xdr:rowOff>133350</xdr:rowOff>
    </xdr:to>
    <xdr:pic>
      <xdr:nvPicPr>
        <xdr:cNvPr id="69" name="Picture 50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71342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40</xdr:row>
      <xdr:rowOff>47625</xdr:rowOff>
    </xdr:from>
    <xdr:to>
      <xdr:col>0</xdr:col>
      <xdr:colOff>390525</xdr:colOff>
      <xdr:row>40</xdr:row>
      <xdr:rowOff>133350</xdr:rowOff>
    </xdr:to>
    <xdr:pic>
      <xdr:nvPicPr>
        <xdr:cNvPr id="70" name="Picture 51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72961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41</xdr:row>
      <xdr:rowOff>47625</xdr:rowOff>
    </xdr:from>
    <xdr:to>
      <xdr:col>0</xdr:col>
      <xdr:colOff>390525</xdr:colOff>
      <xdr:row>41</xdr:row>
      <xdr:rowOff>133350</xdr:rowOff>
    </xdr:to>
    <xdr:pic>
      <xdr:nvPicPr>
        <xdr:cNvPr id="71" name="Picture 52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745807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42</xdr:row>
      <xdr:rowOff>47625</xdr:rowOff>
    </xdr:from>
    <xdr:to>
      <xdr:col>0</xdr:col>
      <xdr:colOff>390525</xdr:colOff>
      <xdr:row>42</xdr:row>
      <xdr:rowOff>133350</xdr:rowOff>
    </xdr:to>
    <xdr:pic>
      <xdr:nvPicPr>
        <xdr:cNvPr id="72" name="Picture 53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762000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43</xdr:row>
      <xdr:rowOff>47625</xdr:rowOff>
    </xdr:from>
    <xdr:to>
      <xdr:col>0</xdr:col>
      <xdr:colOff>390525</xdr:colOff>
      <xdr:row>43</xdr:row>
      <xdr:rowOff>133350</xdr:rowOff>
    </xdr:to>
    <xdr:pic>
      <xdr:nvPicPr>
        <xdr:cNvPr id="73" name="Picture 54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7781925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276225</xdr:colOff>
      <xdr:row>44</xdr:row>
      <xdr:rowOff>47625</xdr:rowOff>
    </xdr:from>
    <xdr:to>
      <xdr:col>0</xdr:col>
      <xdr:colOff>390525</xdr:colOff>
      <xdr:row>44</xdr:row>
      <xdr:rowOff>133350</xdr:rowOff>
    </xdr:to>
    <xdr:pic>
      <xdr:nvPicPr>
        <xdr:cNvPr id="74" name="Picture 55" descr="seta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6225" y="7943850"/>
          <a:ext cx="114300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RAMAS\PRIMAVERA\SG750\Apl\Add-In%20Financeiro%20PRIMAVERA%207.50%20Professional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Documents\FICHEIROS%20MARVINE\MARVINE%20NOVO\DF%20-%20MARVINE,%20LDA\Notas%20&#224;s%20Contas%20-%20Angola.xlsx%20elecnor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1"/>
      <sheetName val="Folha2"/>
      <sheetName val="Folha3"/>
      <sheetName val="Add-In Financeiro PRIMAVERA 7"/>
    </sheetNames>
    <definedNames>
      <definedName name="MovimCR"/>
      <definedName name="MovimDB"/>
      <definedName name="SaldoDB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âmetros"/>
      <sheetName val="4 - Imobilização Corpórea"/>
      <sheetName val="5 - Imobilizado Incorpóreo"/>
      <sheetName val="6 - Invest. Subs. e Associadas"/>
      <sheetName val="7 - Outros Activos Financeiros"/>
      <sheetName val="8 - Existências"/>
      <sheetName val="9 - Out. Act não C. e C. a Rec."/>
      <sheetName val="10 - Disponibilidades"/>
      <sheetName val="11 - Outros Activos Correntes"/>
      <sheetName val="12 - Capital"/>
      <sheetName val="13 - Reservas"/>
      <sheetName val="14 - Resultados Transitados"/>
      <sheetName val="15 - Emp. Corr. não Corr."/>
      <sheetName val="16 - Impostos Diferidos"/>
      <sheetName val="17 - Provisões para Pensões"/>
      <sheetName val="18 - Prov. Out. Riscos e Enc."/>
      <sheetName val="19 -Outros Act. não C. e C. P."/>
      <sheetName val="20 - Empréstimos de Curto Prazo"/>
      <sheetName val="21 - Outros Passivos Correntes"/>
      <sheetName val="22 - Vendas"/>
      <sheetName val="23 - Prestação de Serviço"/>
      <sheetName val="24 - Outros Proveitos Op."/>
      <sheetName val="25 - Var. nos Prod. Ac. Vias F."/>
      <sheetName val="26 - Trab. para Própria Emp."/>
      <sheetName val="27 - CEVMP e SC"/>
      <sheetName val="28 - Custo com o Pessoal"/>
      <sheetName val="29 - Amortizações"/>
      <sheetName val="30 - Outros Custos e Perdas Op."/>
      <sheetName val="31 - Resultados Financeiros"/>
      <sheetName val="32 - Res. de Filiais Associadas"/>
      <sheetName val="33 - Res. não Operacionais"/>
      <sheetName val="34 - Resultados Extraordinários"/>
      <sheetName val="35 - Imposto Sobre o Rendimento"/>
      <sheetName val="36 - Resp. Assumidas e não R."/>
      <sheetName val="Extras"/>
    </sheetNames>
    <sheetDataSet>
      <sheetData sheetId="0" refreshError="1">
        <row r="5">
          <cell r="D5" t="str">
            <v>MARVINE</v>
          </cell>
          <cell r="F5">
            <v>2012</v>
          </cell>
        </row>
        <row r="6">
          <cell r="F6">
            <v>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showGridLines="0" topLeftCell="A10" workbookViewId="0">
      <selection activeCell="B14" sqref="B14"/>
    </sheetView>
  </sheetViews>
  <sheetFormatPr defaultRowHeight="12.75" x14ac:dyDescent="0.2"/>
  <cols>
    <col min="1" max="1" width="6.5703125" customWidth="1"/>
    <col min="2" max="2" width="35.85546875" customWidth="1"/>
    <col min="3" max="3" width="17" customWidth="1"/>
    <col min="4" max="4" width="12.28515625" customWidth="1"/>
    <col min="5" max="5" width="39.28515625" customWidth="1"/>
    <col min="8" max="8" width="37.5703125" customWidth="1"/>
  </cols>
  <sheetData>
    <row r="1" spans="1:8" s="370" customFormat="1" ht="22.5" customHeight="1" x14ac:dyDescent="0.2"/>
    <row r="2" spans="1:8" s="370" customFormat="1" ht="90" customHeight="1" x14ac:dyDescent="0.2"/>
    <row r="3" spans="1:8" s="339" customFormat="1" ht="67.5" customHeight="1" x14ac:dyDescent="0.2">
      <c r="A3" s="371" t="s">
        <v>912</v>
      </c>
      <c r="B3" s="371"/>
      <c r="C3" s="371"/>
      <c r="D3" s="371"/>
      <c r="E3" s="371"/>
      <c r="F3" s="371"/>
    </row>
    <row r="4" spans="1:8" ht="21" customHeight="1" x14ac:dyDescent="0.2">
      <c r="B4" s="340"/>
      <c r="C4" s="7"/>
      <c r="D4" s="8" t="s">
        <v>5</v>
      </c>
      <c r="E4" s="8" t="s">
        <v>59</v>
      </c>
      <c r="F4" s="8" t="s">
        <v>6</v>
      </c>
      <c r="H4" s="8"/>
    </row>
    <row r="5" spans="1:8" x14ac:dyDescent="0.2">
      <c r="A5" s="9"/>
      <c r="B5" s="341" t="s">
        <v>10</v>
      </c>
      <c r="C5" s="10" t="s">
        <v>7</v>
      </c>
      <c r="D5" s="11" t="s">
        <v>922</v>
      </c>
      <c r="E5" s="11" t="s">
        <v>921</v>
      </c>
      <c r="F5" s="11">
        <v>2014</v>
      </c>
      <c r="H5" s="12"/>
    </row>
    <row r="6" spans="1:8" x14ac:dyDescent="0.2">
      <c r="A6" s="9"/>
      <c r="B6" s="341" t="s">
        <v>11</v>
      </c>
      <c r="C6" s="10" t="s">
        <v>8</v>
      </c>
      <c r="D6" s="11" t="s">
        <v>922</v>
      </c>
      <c r="E6" s="11" t="s">
        <v>921</v>
      </c>
      <c r="F6" s="11">
        <v>2015</v>
      </c>
    </row>
    <row r="7" spans="1:8" x14ac:dyDescent="0.2">
      <c r="A7" s="9"/>
      <c r="B7" s="341" t="s">
        <v>12</v>
      </c>
      <c r="C7" s="10" t="s">
        <v>9</v>
      </c>
      <c r="D7" s="11" t="s">
        <v>922</v>
      </c>
      <c r="E7" s="11" t="s">
        <v>921</v>
      </c>
      <c r="F7" s="11">
        <v>2016</v>
      </c>
    </row>
    <row r="8" spans="1:8" x14ac:dyDescent="0.2">
      <c r="A8" s="9"/>
      <c r="B8" s="340"/>
      <c r="C8" s="7" t="s">
        <v>121</v>
      </c>
      <c r="D8" s="11">
        <v>0</v>
      </c>
      <c r="E8" s="11"/>
      <c r="F8" s="11"/>
    </row>
    <row r="9" spans="1:8" x14ac:dyDescent="0.2">
      <c r="A9" s="9"/>
      <c r="B9" s="340"/>
      <c r="C9" s="7" t="s">
        <v>1</v>
      </c>
      <c r="D9" s="11">
        <v>15</v>
      </c>
      <c r="E9" s="7"/>
      <c r="F9" s="7"/>
    </row>
    <row r="10" spans="1:8" x14ac:dyDescent="0.2">
      <c r="A10" s="9"/>
      <c r="B10" s="340"/>
      <c r="C10" s="7"/>
      <c r="D10" s="11"/>
      <c r="E10" s="7"/>
      <c r="F10" s="7"/>
    </row>
    <row r="11" spans="1:8" x14ac:dyDescent="0.2">
      <c r="B11" s="340"/>
      <c r="C11" s="7"/>
      <c r="E11" s="13"/>
      <c r="F11" s="7"/>
    </row>
    <row r="12" spans="1:8" x14ac:dyDescent="0.2">
      <c r="A12" s="9"/>
      <c r="B12" s="341" t="s">
        <v>878</v>
      </c>
      <c r="C12" s="7"/>
      <c r="E12" s="14"/>
      <c r="F12" s="7"/>
    </row>
    <row r="13" spans="1:8" x14ac:dyDescent="0.2">
      <c r="A13" s="9"/>
      <c r="B13" s="341" t="s">
        <v>879</v>
      </c>
      <c r="C13" s="7"/>
      <c r="E13" s="14"/>
      <c r="F13" s="7"/>
    </row>
    <row r="14" spans="1:8" x14ac:dyDescent="0.2">
      <c r="A14" s="9"/>
      <c r="B14" s="341" t="s">
        <v>880</v>
      </c>
      <c r="C14" s="7"/>
      <c r="E14" s="15"/>
      <c r="F14" s="7"/>
    </row>
    <row r="15" spans="1:8" x14ac:dyDescent="0.2">
      <c r="A15" s="9"/>
      <c r="B15" s="341" t="s">
        <v>881</v>
      </c>
      <c r="C15" s="7"/>
      <c r="E15" s="7"/>
      <c r="F15" s="7"/>
    </row>
    <row r="16" spans="1:8" x14ac:dyDescent="0.2">
      <c r="A16" s="9"/>
      <c r="B16" s="341" t="s">
        <v>882</v>
      </c>
      <c r="C16" s="7"/>
      <c r="E16" s="7"/>
      <c r="F16" s="7"/>
    </row>
    <row r="17" spans="1:7" x14ac:dyDescent="0.2">
      <c r="A17" s="9"/>
      <c r="B17" s="341" t="s">
        <v>883</v>
      </c>
      <c r="E17" s="7"/>
      <c r="F17" s="7"/>
    </row>
    <row r="18" spans="1:7" x14ac:dyDescent="0.2">
      <c r="A18" s="9"/>
      <c r="B18" s="341" t="s">
        <v>884</v>
      </c>
      <c r="E18" s="16"/>
      <c r="F18" s="16"/>
      <c r="G18" s="16"/>
    </row>
    <row r="19" spans="1:7" x14ac:dyDescent="0.2">
      <c r="A19" s="9"/>
      <c r="B19" s="341" t="s">
        <v>885</v>
      </c>
      <c r="E19" s="11"/>
      <c r="F19" s="11"/>
      <c r="G19" s="11"/>
    </row>
    <row r="20" spans="1:7" x14ac:dyDescent="0.2">
      <c r="A20" s="9"/>
      <c r="B20" s="341" t="s">
        <v>886</v>
      </c>
      <c r="E20" s="11"/>
      <c r="F20" s="11"/>
      <c r="G20" s="11"/>
    </row>
    <row r="21" spans="1:7" x14ac:dyDescent="0.2">
      <c r="A21" s="9"/>
      <c r="B21" s="341" t="s">
        <v>887</v>
      </c>
      <c r="E21" s="11"/>
      <c r="F21" s="11"/>
      <c r="G21" s="11"/>
    </row>
    <row r="22" spans="1:7" x14ac:dyDescent="0.2">
      <c r="A22" s="9"/>
      <c r="B22" s="341" t="s">
        <v>888</v>
      </c>
    </row>
    <row r="23" spans="1:7" x14ac:dyDescent="0.2">
      <c r="A23" s="9"/>
      <c r="B23" s="341" t="s">
        <v>889</v>
      </c>
    </row>
    <row r="24" spans="1:7" x14ac:dyDescent="0.2">
      <c r="A24" s="9"/>
      <c r="B24" s="341" t="s">
        <v>890</v>
      </c>
    </row>
    <row r="25" spans="1:7" x14ac:dyDescent="0.2">
      <c r="A25" s="9"/>
      <c r="B25" s="341" t="s">
        <v>891</v>
      </c>
    </row>
    <row r="26" spans="1:7" x14ac:dyDescent="0.2">
      <c r="A26" s="9"/>
      <c r="B26" s="341" t="s">
        <v>892</v>
      </c>
    </row>
    <row r="27" spans="1:7" x14ac:dyDescent="0.2">
      <c r="A27" s="9"/>
      <c r="B27" s="341" t="s">
        <v>893</v>
      </c>
    </row>
    <row r="28" spans="1:7" x14ac:dyDescent="0.2">
      <c r="A28" s="9"/>
      <c r="B28" s="341" t="s">
        <v>894</v>
      </c>
    </row>
    <row r="29" spans="1:7" x14ac:dyDescent="0.2">
      <c r="A29" s="9"/>
      <c r="B29" s="341" t="s">
        <v>895</v>
      </c>
    </row>
    <row r="30" spans="1:7" x14ac:dyDescent="0.2">
      <c r="A30" s="9"/>
      <c r="B30" s="341" t="s">
        <v>896</v>
      </c>
    </row>
    <row r="31" spans="1:7" x14ac:dyDescent="0.2">
      <c r="A31" s="9"/>
      <c r="B31" s="341" t="s">
        <v>897</v>
      </c>
    </row>
    <row r="32" spans="1:7" x14ac:dyDescent="0.2">
      <c r="A32" s="9"/>
      <c r="B32" s="341" t="s">
        <v>898</v>
      </c>
    </row>
    <row r="33" spans="1:2" x14ac:dyDescent="0.2">
      <c r="A33" s="9"/>
      <c r="B33" s="341" t="s">
        <v>899</v>
      </c>
    </row>
    <row r="34" spans="1:2" x14ac:dyDescent="0.2">
      <c r="A34" s="9"/>
      <c r="B34" s="341" t="s">
        <v>900</v>
      </c>
    </row>
    <row r="35" spans="1:2" x14ac:dyDescent="0.2">
      <c r="A35" s="9"/>
      <c r="B35" s="341" t="s">
        <v>901</v>
      </c>
    </row>
    <row r="36" spans="1:2" x14ac:dyDescent="0.2">
      <c r="A36" s="9"/>
      <c r="B36" s="341" t="s">
        <v>902</v>
      </c>
    </row>
    <row r="37" spans="1:2" x14ac:dyDescent="0.2">
      <c r="A37" s="9"/>
      <c r="B37" s="341" t="s">
        <v>903</v>
      </c>
    </row>
    <row r="38" spans="1:2" x14ac:dyDescent="0.2">
      <c r="A38" s="9"/>
      <c r="B38" s="341" t="s">
        <v>904</v>
      </c>
    </row>
    <row r="39" spans="1:2" x14ac:dyDescent="0.2">
      <c r="A39" s="9"/>
      <c r="B39" s="341" t="s">
        <v>905</v>
      </c>
    </row>
    <row r="40" spans="1:2" x14ac:dyDescent="0.2">
      <c r="A40" s="9"/>
      <c r="B40" s="341" t="s">
        <v>906</v>
      </c>
    </row>
    <row r="41" spans="1:2" x14ac:dyDescent="0.2">
      <c r="A41" s="9"/>
      <c r="B41" s="341" t="s">
        <v>907</v>
      </c>
    </row>
    <row r="42" spans="1:2" x14ac:dyDescent="0.2">
      <c r="A42" s="9"/>
      <c r="B42" s="341" t="s">
        <v>908</v>
      </c>
    </row>
    <row r="43" spans="1:2" x14ac:dyDescent="0.2">
      <c r="A43" s="9"/>
      <c r="B43" s="341" t="s">
        <v>909</v>
      </c>
    </row>
    <row r="44" spans="1:2" x14ac:dyDescent="0.2">
      <c r="A44" s="9"/>
      <c r="B44" s="341" t="s">
        <v>910</v>
      </c>
    </row>
    <row r="45" spans="1:2" x14ac:dyDescent="0.2">
      <c r="A45" s="9"/>
      <c r="B45" s="341" t="s">
        <v>911</v>
      </c>
    </row>
  </sheetData>
  <mergeCells count="3">
    <mergeCell ref="A1:XFD1"/>
    <mergeCell ref="A2:XFD2"/>
    <mergeCell ref="A3:F3"/>
  </mergeCells>
  <phoneticPr fontId="0" type="noConversion"/>
  <hyperlinks>
    <hyperlink ref="B5" location="Balanço!A1" display="4 - Imobilização Corpórea"/>
    <hyperlink ref="B6" location="'Demonstração de Resultados'!A1" display="5 - Imobilizado Incorpóreo"/>
    <hyperlink ref="B7" location="'Dem. de Fluxos de Caixa'!A1" display="6 - Invest. Subs. e Associadas"/>
    <hyperlink ref="B12" location="'4 - Imobilização corpórea'!A1" display="'4 - Imobilização corpórea'!A1"/>
    <hyperlink ref="B13" location="'5 - Imobilizado incorpóreo'!A1" display="'5 - Imobilizado incorpóreo'!A1"/>
    <hyperlink ref="B14" location="'6 - Invest. Subs. e Associadas'!A1" display="6 - Invest. em subs. e assoc."/>
    <hyperlink ref="B15" location="'7 - Outros activos financeiros'!A1" display="'7 - Outros activos financeiros'!A1"/>
    <hyperlink ref="B16" location="'8 - Existências'!A1" display="'8 - Existências'!A1"/>
    <hyperlink ref="B17" location="'9-Out act nao corr e cont a rec'!A1" display="'9-Out act nao corr e cont a rec'!A1"/>
    <hyperlink ref="B18" location="'10 - Disponibilidades'!A1" display="10 - Disponibilidades"/>
    <hyperlink ref="B19" location="'11 - Outros activos correntes'!A1" display="'11 - Outros activos correntes'!A1"/>
    <hyperlink ref="B20" location="'12 - Capital'!A1" display="'12 - Capital'!A1"/>
    <hyperlink ref="B21" location="'13 - Reservas'!A1" display="'13 - Reservas'!A1"/>
    <hyperlink ref="B22" location="'14 - Resultados transitados'!A1" display="'14 - Resultados transitados'!A1"/>
    <hyperlink ref="B24" location="'16 - Impostos diferidos'!A1" display="'16 - Impostos diferidos'!A1"/>
    <hyperlink ref="B25" location="'17 - Provisões para pensões'!A1" display="'17 - Provisões para pensões'!A1"/>
    <hyperlink ref="B26" location="'18 - Prov. Out. Riscos e Enc.'!A1" display="18 - Provisões p out. riscos.."/>
    <hyperlink ref="B27" location="'19 -Outros Act. não C. e C. P.'!A1" display="19 -Outros Act. não C. e C. P.."/>
    <hyperlink ref="B28" location="'20 - Empréstimos de curto prazo'!A1" display="'20 - Empréstimos de curto prazo'!A1"/>
    <hyperlink ref="B29" location="'21 - Outros passivos correntes'!A1" display="'21 - Outros passivos correntes'!A1"/>
    <hyperlink ref="B30" location="'22 - Vendas'!A1" display="'22 - Vendas'!A1"/>
    <hyperlink ref="B31" location="'23 - Prestação de serviço'!A1" display="'23 - Prestação de serviço'!A1"/>
    <hyperlink ref="B32" location="'24 - Outros Proveitos Op.'!A1" display="24 - Outros proveitos operacio."/>
    <hyperlink ref="B33" location="'25 - Var. nos Prod. Ac. Vias F.'!A1" display="25 - Variaç nos prod acabados.."/>
    <hyperlink ref="B34" location="'26 - Trab. para Própria Emp.'!A1" display="26 - Trabalhos p a própria empr"/>
    <hyperlink ref="B35" location="'27 - CEVMP e SC'!A1" display="27 - Custos das exist. vend. .."/>
    <hyperlink ref="B36" location="'28 - Custo com o pessoal'!A1" display="'28 - Custo com o pessoal'!A1"/>
    <hyperlink ref="B37" location="'29 - Amortizações'!A1" display="'29 - Amortizações'!A1"/>
    <hyperlink ref="B38" location="'30 - Outros Custos e Perdas Op.'!A1" display="30 - Outros custos e perdas ope"/>
    <hyperlink ref="B39" location="'31 - Resultados financeiros'!A1" display="'31 - Resultados financeiros'!A1"/>
    <hyperlink ref="B40" location="'32 - Res. de Filiais Associadas'!A1" display="32 - Resultados de fili e assoc"/>
    <hyperlink ref="B41" location="'33 - Res. não Operacionais'!A1" display="33 -Resultados não operacionais"/>
    <hyperlink ref="B42" location="'34 - Resultados Extraordinários'!A1" display="34 - Resultados extraordinarios"/>
    <hyperlink ref="B43" location="'35 - Imposto sobre o rendimento'!A1" display="'35 - Imposto sobre o rendimento'!A1"/>
    <hyperlink ref="B44" location="'36 - Resp. Assumidas e não R.'!A1" display="36 - Respons. assumidas e ..."/>
    <hyperlink ref="B45" location="Extras!A1" display="Extras!A1"/>
    <hyperlink ref="B23" location="'15 - Emp. Corr. não Corr.'!A1" display="15 - Emp. Corr. não Corr."/>
  </hyperlinks>
  <pageMargins left="0.75" right="0.75" top="1" bottom="1" header="0.5" footer="0.5"/>
  <headerFooter alignWithMargins="0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8"/>
  <sheetViews>
    <sheetView showGridLines="0" zoomScale="85" zoomScaleNormal="85" workbookViewId="0">
      <selection activeCell="D10" sqref="D10"/>
    </sheetView>
  </sheetViews>
  <sheetFormatPr defaultRowHeight="12.75" customHeight="1" outlineLevelCol="1" x14ac:dyDescent="0.15"/>
  <cols>
    <col min="1" max="1" width="38.7109375" style="4" customWidth="1"/>
    <col min="2" max="2" width="7.140625" style="4" customWidth="1"/>
    <col min="3" max="3" width="58" style="4" hidden="1" customWidth="1" outlineLevel="1"/>
    <col min="4" max="4" width="18.7109375" style="4" customWidth="1" collapsed="1"/>
    <col min="5" max="5" width="18.7109375" style="4" customWidth="1"/>
    <col min="6" max="6" width="6.7109375" style="4" customWidth="1"/>
    <col min="7" max="8" width="9.140625" style="4"/>
    <col min="9" max="9" width="11.85546875" style="3" bestFit="1" customWidth="1"/>
    <col min="10" max="10" width="9.140625" style="131" customWidth="1"/>
    <col min="11" max="11" width="19.7109375" style="4" customWidth="1"/>
    <col min="12" max="12" width="12.7109375" style="4" bestFit="1" customWidth="1"/>
    <col min="13" max="13" width="14.42578125" style="4" bestFit="1" customWidth="1"/>
    <col min="14" max="16384" width="9.140625" style="4"/>
  </cols>
  <sheetData>
    <row r="1" spans="1:12" ht="12.75" customHeight="1" x14ac:dyDescent="0.2">
      <c r="G1"/>
    </row>
    <row r="2" spans="1:12" ht="20.100000000000001" customHeight="1" x14ac:dyDescent="0.25">
      <c r="A2" s="372" t="s">
        <v>421</v>
      </c>
      <c r="B2" s="372"/>
      <c r="C2" s="372"/>
      <c r="D2" s="372"/>
      <c r="E2" s="372"/>
      <c r="F2" s="162"/>
      <c r="G2"/>
    </row>
    <row r="3" spans="1:12" ht="12.75" customHeight="1" x14ac:dyDescent="0.2">
      <c r="E3" s="3" t="s">
        <v>13</v>
      </c>
      <c r="F3" s="3"/>
      <c r="G3"/>
    </row>
    <row r="4" spans="1:12" ht="12.75" customHeight="1" x14ac:dyDescent="0.2">
      <c r="A4" s="168"/>
      <c r="E4" s="3" t="s">
        <v>318</v>
      </c>
      <c r="F4" s="3"/>
      <c r="G4"/>
    </row>
    <row r="5" spans="1:12" ht="20.100000000000001" customHeight="1" x14ac:dyDescent="0.25">
      <c r="A5" s="5"/>
      <c r="D5" s="132"/>
      <c r="G5"/>
    </row>
    <row r="6" spans="1:12" ht="12.75" customHeight="1" x14ac:dyDescent="0.2">
      <c r="A6" s="375" t="s">
        <v>14</v>
      </c>
      <c r="B6" s="373" t="s">
        <v>15</v>
      </c>
      <c r="C6" s="373" t="s">
        <v>2</v>
      </c>
      <c r="D6" s="377" t="s">
        <v>16</v>
      </c>
      <c r="E6" s="378"/>
      <c r="F6" s="165"/>
      <c r="G6"/>
    </row>
    <row r="7" spans="1:12" ht="12.75" customHeight="1" x14ac:dyDescent="0.2">
      <c r="A7" s="376"/>
      <c r="B7" s="374"/>
      <c r="C7" s="374"/>
      <c r="D7" s="180">
        <v>2015</v>
      </c>
      <c r="E7" s="181">
        <v>2014</v>
      </c>
      <c r="F7" s="165"/>
      <c r="G7"/>
    </row>
    <row r="8" spans="1:12" ht="12.75" customHeight="1" x14ac:dyDescent="0.3">
      <c r="A8" s="182" t="s">
        <v>17</v>
      </c>
      <c r="B8" s="171"/>
      <c r="C8" s="171"/>
      <c r="D8" s="172"/>
      <c r="E8" s="173"/>
      <c r="F8" s="163"/>
      <c r="G8"/>
      <c r="I8" s="141">
        <v>2014</v>
      </c>
      <c r="K8" s="4">
        <v>2011</v>
      </c>
    </row>
    <row r="9" spans="1:12" ht="12.75" customHeight="1" x14ac:dyDescent="0.3">
      <c r="A9" s="182" t="s">
        <v>414</v>
      </c>
      <c r="B9" s="171"/>
      <c r="C9" s="171"/>
      <c r="D9" s="172"/>
      <c r="E9" s="173"/>
      <c r="F9" s="163"/>
      <c r="G9"/>
      <c r="I9" s="142"/>
    </row>
    <row r="10" spans="1:12" ht="12.75" customHeight="1" x14ac:dyDescent="0.3">
      <c r="A10" s="170" t="s">
        <v>416</v>
      </c>
      <c r="B10" s="171">
        <v>4</v>
      </c>
      <c r="C10" s="171" t="s">
        <v>99</v>
      </c>
      <c r="D10" s="172">
        <f>I10+I18+I19-I22</f>
        <v>0</v>
      </c>
      <c r="E10" s="172">
        <v>0</v>
      </c>
      <c r="F10" s="163"/>
      <c r="G10" s="144" t="s">
        <v>329</v>
      </c>
      <c r="H10" s="145">
        <v>11</v>
      </c>
      <c r="I10" s="198"/>
      <c r="J10" s="145">
        <v>11</v>
      </c>
      <c r="K10" s="146"/>
    </row>
    <row r="11" spans="1:12" ht="12.75" customHeight="1" x14ac:dyDescent="0.3">
      <c r="A11" s="170" t="s">
        <v>18</v>
      </c>
      <c r="B11" s="171">
        <v>5</v>
      </c>
      <c r="C11" s="171" t="s">
        <v>68</v>
      </c>
      <c r="D11" s="172">
        <f>I11-I23</f>
        <v>0</v>
      </c>
      <c r="E11" s="172">
        <v>0</v>
      </c>
      <c r="F11" s="163"/>
      <c r="G11" s="147" t="s">
        <v>330</v>
      </c>
      <c r="H11" s="148">
        <v>12</v>
      </c>
      <c r="I11" s="204"/>
      <c r="J11" s="148">
        <v>12</v>
      </c>
      <c r="K11" s="149"/>
    </row>
    <row r="12" spans="1:12" ht="12.75" customHeight="1" x14ac:dyDescent="0.3">
      <c r="A12" s="170" t="s">
        <v>0</v>
      </c>
      <c r="B12" s="171">
        <v>6</v>
      </c>
      <c r="C12" s="171" t="s">
        <v>67</v>
      </c>
      <c r="D12" s="172">
        <f>I12+I13+I21-I24-I25+I14</f>
        <v>0</v>
      </c>
      <c r="E12" s="172">
        <v>0</v>
      </c>
      <c r="F12" s="163"/>
      <c r="G12" s="147" t="s">
        <v>331</v>
      </c>
      <c r="H12" s="148">
        <v>131</v>
      </c>
      <c r="I12" s="203"/>
      <c r="J12" s="148">
        <v>131</v>
      </c>
      <c r="K12" s="150"/>
      <c r="L12" s="135"/>
    </row>
    <row r="13" spans="1:12" ht="12.75" customHeight="1" x14ac:dyDescent="0.3">
      <c r="A13" s="170" t="s">
        <v>19</v>
      </c>
      <c r="B13" s="171">
        <v>7</v>
      </c>
      <c r="C13" s="171" t="s">
        <v>66</v>
      </c>
      <c r="D13" s="172">
        <f>I15+I16+I17+I21-I26-I27+I28</f>
        <v>0</v>
      </c>
      <c r="E13" s="172">
        <v>0</v>
      </c>
      <c r="F13" s="163"/>
      <c r="G13" s="147" t="s">
        <v>332</v>
      </c>
      <c r="H13" s="148">
        <v>132</v>
      </c>
      <c r="I13" s="150"/>
      <c r="J13" s="148">
        <v>132</v>
      </c>
      <c r="K13" s="150"/>
      <c r="L13" s="135"/>
    </row>
    <row r="14" spans="1:12" ht="12.75" customHeight="1" x14ac:dyDescent="0.3">
      <c r="A14" s="170" t="s">
        <v>20</v>
      </c>
      <c r="B14" s="171">
        <v>9</v>
      </c>
      <c r="C14" s="183" t="s">
        <v>124</v>
      </c>
      <c r="D14" s="184">
        <v>0</v>
      </c>
      <c r="E14" s="185">
        <v>0</v>
      </c>
      <c r="F14" s="164"/>
      <c r="G14" s="147" t="s">
        <v>333</v>
      </c>
      <c r="H14" s="148">
        <v>133</v>
      </c>
      <c r="I14" s="150"/>
      <c r="J14" s="148">
        <v>133</v>
      </c>
      <c r="K14" s="150"/>
    </row>
    <row r="15" spans="1:12" ht="12.75" customHeight="1" x14ac:dyDescent="0.3">
      <c r="A15" s="170"/>
      <c r="B15" s="171"/>
      <c r="C15" s="175" t="s">
        <v>94</v>
      </c>
      <c r="D15" s="186">
        <f>SUM(D10:D14)</f>
        <v>0</v>
      </c>
      <c r="E15" s="187">
        <f>SUM(E10:E14)</f>
        <v>0</v>
      </c>
      <c r="F15" s="163"/>
      <c r="G15" s="147" t="s">
        <v>334</v>
      </c>
      <c r="H15" s="148">
        <v>134</v>
      </c>
      <c r="I15" s="150"/>
      <c r="J15" s="148">
        <v>134</v>
      </c>
      <c r="K15" s="150"/>
    </row>
    <row r="16" spans="1:12" ht="12.75" customHeight="1" x14ac:dyDescent="0.3">
      <c r="A16" s="170"/>
      <c r="B16" s="171"/>
      <c r="C16" s="171"/>
      <c r="D16" s="172"/>
      <c r="E16" s="173"/>
      <c r="F16" s="163"/>
      <c r="G16" s="147" t="s">
        <v>335</v>
      </c>
      <c r="H16" s="148">
        <v>135</v>
      </c>
      <c r="I16" s="150"/>
      <c r="J16" s="148">
        <v>135</v>
      </c>
      <c r="K16" s="150"/>
    </row>
    <row r="17" spans="1:13" ht="12.75" customHeight="1" x14ac:dyDescent="0.3">
      <c r="A17" s="182" t="s">
        <v>415</v>
      </c>
      <c r="B17" s="171"/>
      <c r="C17" s="171"/>
      <c r="D17" s="172"/>
      <c r="E17" s="173"/>
      <c r="F17" s="163"/>
      <c r="G17" s="147" t="s">
        <v>336</v>
      </c>
      <c r="H17" s="148">
        <v>139</v>
      </c>
      <c r="I17" s="150"/>
      <c r="J17" s="148">
        <v>139</v>
      </c>
      <c r="K17" s="150"/>
    </row>
    <row r="18" spans="1:13" ht="12.75" customHeight="1" x14ac:dyDescent="0.3">
      <c r="A18" s="170" t="s">
        <v>21</v>
      </c>
      <c r="B18" s="171">
        <v>8</v>
      </c>
      <c r="C18" s="171" t="s">
        <v>122</v>
      </c>
      <c r="D18" s="172">
        <f>I30+I33</f>
        <v>0</v>
      </c>
      <c r="E18" s="172">
        <v>0</v>
      </c>
      <c r="F18" s="163"/>
      <c r="G18" s="147" t="s">
        <v>337</v>
      </c>
      <c r="H18" s="148">
        <v>141</v>
      </c>
      <c r="I18" s="199"/>
      <c r="J18" s="148">
        <v>141</v>
      </c>
      <c r="K18" s="150"/>
    </row>
    <row r="19" spans="1:13" ht="12.75" customHeight="1" x14ac:dyDescent="0.3">
      <c r="A19" s="170" t="s">
        <v>22</v>
      </c>
      <c r="B19" s="171">
        <v>9</v>
      </c>
      <c r="C19" s="188" t="s">
        <v>123</v>
      </c>
      <c r="D19" s="184">
        <f>I37+I47+I49+I51+I59+I61+I63-I65+I40</f>
        <v>0</v>
      </c>
      <c r="E19" s="172">
        <v>0</v>
      </c>
      <c r="F19" s="164"/>
      <c r="G19" s="147" t="s">
        <v>338</v>
      </c>
      <c r="H19" s="148">
        <v>142</v>
      </c>
      <c r="I19" s="149"/>
      <c r="J19" s="148">
        <v>142</v>
      </c>
      <c r="K19" s="149"/>
      <c r="L19" s="135"/>
    </row>
    <row r="20" spans="1:13" ht="12.75" customHeight="1" x14ac:dyDescent="0.3">
      <c r="A20" s="170" t="s">
        <v>23</v>
      </c>
      <c r="B20" s="171">
        <v>10</v>
      </c>
      <c r="C20" s="171" t="s">
        <v>65</v>
      </c>
      <c r="D20" s="172">
        <f>+I75+I76</f>
        <v>100000</v>
      </c>
      <c r="E20" s="172">
        <v>0</v>
      </c>
      <c r="F20" s="163"/>
      <c r="G20" s="147" t="s">
        <v>339</v>
      </c>
      <c r="H20" s="148">
        <v>147</v>
      </c>
      <c r="I20" s="150"/>
      <c r="J20" s="148">
        <v>147</v>
      </c>
      <c r="K20" s="154"/>
      <c r="L20" s="131"/>
    </row>
    <row r="21" spans="1:13" ht="12.75" customHeight="1" x14ac:dyDescent="0.3">
      <c r="A21" s="170" t="s">
        <v>24</v>
      </c>
      <c r="B21" s="171">
        <v>11</v>
      </c>
      <c r="C21" s="171" t="s">
        <v>78</v>
      </c>
      <c r="D21" s="172">
        <v>0</v>
      </c>
      <c r="E21" s="172">
        <v>0</v>
      </c>
      <c r="F21" s="163"/>
      <c r="G21" s="147" t="s">
        <v>340</v>
      </c>
      <c r="H21" s="148">
        <v>148</v>
      </c>
      <c r="I21" s="150"/>
      <c r="J21" s="148">
        <v>148</v>
      </c>
      <c r="K21" s="150"/>
      <c r="L21" s="135"/>
    </row>
    <row r="22" spans="1:13" ht="12.75" customHeight="1" x14ac:dyDescent="0.3">
      <c r="A22" s="170"/>
      <c r="B22" s="171"/>
      <c r="C22" s="175" t="s">
        <v>95</v>
      </c>
      <c r="D22" s="186">
        <f>SUM(D18:D21)</f>
        <v>100000</v>
      </c>
      <c r="E22" s="187">
        <f>SUM(E18:E21)</f>
        <v>0</v>
      </c>
      <c r="F22" s="163"/>
      <c r="G22" s="147" t="s">
        <v>341</v>
      </c>
      <c r="H22" s="148">
        <v>181</v>
      </c>
      <c r="I22" s="200"/>
      <c r="J22" s="148">
        <v>181</v>
      </c>
      <c r="K22" s="151"/>
      <c r="L22" s="135"/>
    </row>
    <row r="23" spans="1:13" ht="12.75" customHeight="1" x14ac:dyDescent="0.3">
      <c r="A23" s="170"/>
      <c r="B23" s="171"/>
      <c r="C23" s="171"/>
      <c r="D23" s="172"/>
      <c r="E23" s="173"/>
      <c r="F23" s="163"/>
      <c r="G23" s="147" t="s">
        <v>342</v>
      </c>
      <c r="H23" s="148">
        <v>182</v>
      </c>
      <c r="I23" s="201"/>
      <c r="J23" s="148">
        <v>182</v>
      </c>
      <c r="K23" s="151"/>
      <c r="L23" s="131"/>
    </row>
    <row r="24" spans="1:13" s="5" customFormat="1" ht="12.75" customHeight="1" x14ac:dyDescent="0.3">
      <c r="A24" s="189" t="s">
        <v>25</v>
      </c>
      <c r="B24" s="190"/>
      <c r="C24" s="190"/>
      <c r="D24" s="179">
        <f>+D22+D15</f>
        <v>100000</v>
      </c>
      <c r="E24" s="179">
        <f>E22+E15</f>
        <v>0</v>
      </c>
      <c r="F24" s="167"/>
      <c r="G24" s="147" t="s">
        <v>343</v>
      </c>
      <c r="H24" s="152">
        <v>191</v>
      </c>
      <c r="I24" s="153"/>
      <c r="J24" s="152">
        <v>191</v>
      </c>
      <c r="K24" s="153"/>
      <c r="L24" s="131"/>
      <c r="M24" s="4"/>
    </row>
    <row r="25" spans="1:13" ht="12.75" customHeight="1" x14ac:dyDescent="0.3">
      <c r="A25" s="170"/>
      <c r="B25" s="171"/>
      <c r="C25" s="171"/>
      <c r="D25" s="172"/>
      <c r="E25" s="173"/>
      <c r="F25" s="163"/>
      <c r="G25" s="147" t="s">
        <v>344</v>
      </c>
      <c r="H25" s="148">
        <v>192</v>
      </c>
      <c r="I25" s="153"/>
      <c r="J25" s="148">
        <v>192</v>
      </c>
      <c r="K25" s="153"/>
      <c r="L25" s="135"/>
    </row>
    <row r="26" spans="1:13" ht="12.75" customHeight="1" x14ac:dyDescent="0.3">
      <c r="A26" s="170"/>
      <c r="B26" s="171"/>
      <c r="C26" s="171"/>
      <c r="D26" s="172"/>
      <c r="E26" s="173"/>
      <c r="F26" s="163"/>
      <c r="G26" s="147" t="s">
        <v>345</v>
      </c>
      <c r="H26" s="148">
        <v>193</v>
      </c>
      <c r="I26" s="153"/>
      <c r="J26" s="148">
        <v>193</v>
      </c>
      <c r="K26" s="153"/>
      <c r="L26" s="131"/>
    </row>
    <row r="27" spans="1:13" ht="12.75" customHeight="1" x14ac:dyDescent="0.3">
      <c r="A27" s="182" t="s">
        <v>26</v>
      </c>
      <c r="B27" s="171"/>
      <c r="C27" s="171"/>
      <c r="D27" s="172"/>
      <c r="E27" s="173"/>
      <c r="F27" s="163"/>
      <c r="G27" s="147" t="s">
        <v>346</v>
      </c>
      <c r="H27" s="148">
        <v>194</v>
      </c>
      <c r="I27" s="153"/>
      <c r="J27" s="148">
        <v>194</v>
      </c>
      <c r="K27" s="153"/>
      <c r="L27" s="135"/>
    </row>
    <row r="28" spans="1:13" ht="12.75" customHeight="1" x14ac:dyDescent="0.3">
      <c r="A28" s="182" t="s">
        <v>27</v>
      </c>
      <c r="B28" s="171"/>
      <c r="C28" s="171"/>
      <c r="D28" s="172"/>
      <c r="E28" s="173"/>
      <c r="F28" s="163"/>
      <c r="G28" s="147" t="s">
        <v>347</v>
      </c>
      <c r="H28" s="148">
        <v>199</v>
      </c>
      <c r="I28" s="153"/>
      <c r="J28" s="148">
        <v>199</v>
      </c>
      <c r="K28" s="153"/>
    </row>
    <row r="29" spans="1:13" ht="12.75" customHeight="1" x14ac:dyDescent="0.3">
      <c r="A29" s="170" t="s">
        <v>28</v>
      </c>
      <c r="B29" s="171">
        <v>12</v>
      </c>
      <c r="C29" s="171" t="s">
        <v>61</v>
      </c>
      <c r="D29" s="172">
        <f>I79</f>
        <v>100000</v>
      </c>
      <c r="E29" s="172">
        <v>0</v>
      </c>
      <c r="F29" s="163"/>
      <c r="G29" s="147" t="s">
        <v>348</v>
      </c>
      <c r="H29" s="148">
        <v>22</v>
      </c>
      <c r="I29" s="153"/>
      <c r="J29" s="148">
        <v>22</v>
      </c>
      <c r="K29" s="153"/>
    </row>
    <row r="30" spans="1:13" ht="12.75" customHeight="1" x14ac:dyDescent="0.3">
      <c r="A30" s="170" t="s">
        <v>29</v>
      </c>
      <c r="B30" s="171">
        <v>13</v>
      </c>
      <c r="C30" s="171" t="s">
        <v>62</v>
      </c>
      <c r="D30" s="172">
        <f>I86</f>
        <v>0</v>
      </c>
      <c r="E30" s="172">
        <v>0</v>
      </c>
      <c r="F30" s="163"/>
      <c r="G30" s="147" t="s">
        <v>349</v>
      </c>
      <c r="H30" s="148">
        <v>21</v>
      </c>
      <c r="I30" s="153"/>
      <c r="J30" s="148">
        <v>23</v>
      </c>
      <c r="K30" s="153"/>
    </row>
    <row r="31" spans="1:13" ht="12.75" customHeight="1" x14ac:dyDescent="0.3">
      <c r="A31" s="170" t="s">
        <v>30</v>
      </c>
      <c r="B31" s="171">
        <v>14</v>
      </c>
      <c r="C31" s="171" t="s">
        <v>63</v>
      </c>
      <c r="D31" s="172">
        <f>I88</f>
        <v>0</v>
      </c>
      <c r="E31" s="172">
        <v>0</v>
      </c>
      <c r="F31" s="163"/>
      <c r="G31" s="147" t="s">
        <v>350</v>
      </c>
      <c r="H31" s="148">
        <v>24</v>
      </c>
      <c r="I31" s="153"/>
      <c r="J31" s="148">
        <v>24</v>
      </c>
      <c r="K31" s="153"/>
      <c r="L31" s="137"/>
    </row>
    <row r="32" spans="1:13" ht="12.75" customHeight="1" x14ac:dyDescent="0.3">
      <c r="A32" s="170" t="s">
        <v>31</v>
      </c>
      <c r="B32" s="171"/>
      <c r="C32" s="171" t="s">
        <v>64</v>
      </c>
      <c r="D32" s="172">
        <f>+I89</f>
        <v>-12500</v>
      </c>
      <c r="E32" s="172">
        <v>0</v>
      </c>
      <c r="F32" s="163"/>
      <c r="G32" s="147" t="s">
        <v>351</v>
      </c>
      <c r="H32" s="148">
        <v>25</v>
      </c>
      <c r="I32" s="153"/>
      <c r="J32" s="148">
        <v>25</v>
      </c>
      <c r="K32" s="153"/>
      <c r="L32" s="131"/>
    </row>
    <row r="33" spans="1:13" ht="12.75" customHeight="1" x14ac:dyDescent="0.3">
      <c r="A33" s="170"/>
      <c r="B33" s="171"/>
      <c r="C33" s="175" t="s">
        <v>96</v>
      </c>
      <c r="D33" s="186">
        <f>SUM(D29:D32)</f>
        <v>87500</v>
      </c>
      <c r="E33" s="186">
        <f>SUM(E29:E32)</f>
        <v>0</v>
      </c>
      <c r="F33" s="163"/>
      <c r="G33" s="147" t="s">
        <v>352</v>
      </c>
      <c r="H33" s="148">
        <v>26</v>
      </c>
      <c r="I33" s="202"/>
      <c r="J33" s="148">
        <v>26</v>
      </c>
      <c r="K33" s="154"/>
      <c r="L33" s="131"/>
    </row>
    <row r="34" spans="1:13" ht="12.75" customHeight="1" x14ac:dyDescent="0.3">
      <c r="A34" s="170"/>
      <c r="B34" s="171"/>
      <c r="C34" s="175"/>
      <c r="D34" s="172"/>
      <c r="E34" s="173"/>
      <c r="F34" s="163"/>
      <c r="G34" s="147" t="s">
        <v>353</v>
      </c>
      <c r="H34" s="148">
        <v>27</v>
      </c>
      <c r="I34" s="154"/>
      <c r="J34" s="148">
        <v>27</v>
      </c>
      <c r="K34" s="154"/>
      <c r="L34" s="131"/>
    </row>
    <row r="35" spans="1:13" ht="12.75" customHeight="1" x14ac:dyDescent="0.3">
      <c r="A35" s="170"/>
      <c r="B35" s="171"/>
      <c r="C35" s="171"/>
      <c r="D35" s="172"/>
      <c r="E35" s="173"/>
      <c r="F35" s="163"/>
      <c r="G35" s="147" t="s">
        <v>354</v>
      </c>
      <c r="H35" s="148">
        <v>28</v>
      </c>
      <c r="I35" s="154"/>
      <c r="J35" s="148">
        <v>28</v>
      </c>
      <c r="K35" s="154"/>
      <c r="L35" s="131"/>
    </row>
    <row r="36" spans="1:13" ht="12.75" customHeight="1" x14ac:dyDescent="0.3">
      <c r="A36" s="182" t="s">
        <v>32</v>
      </c>
      <c r="B36" s="171"/>
      <c r="C36" s="171"/>
      <c r="D36" s="172"/>
      <c r="E36" s="173"/>
      <c r="F36" s="163"/>
      <c r="G36" s="147" t="s">
        <v>355</v>
      </c>
      <c r="H36" s="148">
        <v>29</v>
      </c>
      <c r="I36" s="154"/>
      <c r="J36" s="148">
        <v>29</v>
      </c>
      <c r="K36" s="154"/>
      <c r="L36" s="131"/>
    </row>
    <row r="37" spans="1:13" ht="12.75" customHeight="1" x14ac:dyDescent="0.3">
      <c r="A37" s="170" t="s">
        <v>33</v>
      </c>
      <c r="B37" s="171">
        <v>15</v>
      </c>
      <c r="C37" s="188" t="s">
        <v>60</v>
      </c>
      <c r="D37" s="172">
        <v>0</v>
      </c>
      <c r="E37" s="172">
        <v>0</v>
      </c>
      <c r="F37" s="163"/>
      <c r="G37" s="147" t="s">
        <v>356</v>
      </c>
      <c r="H37" s="148" t="s">
        <v>413</v>
      </c>
      <c r="I37" s="205"/>
      <c r="J37" s="148" t="s">
        <v>413</v>
      </c>
      <c r="K37" s="154"/>
      <c r="L37" s="138"/>
    </row>
    <row r="38" spans="1:13" ht="12.75" customHeight="1" x14ac:dyDescent="0.3">
      <c r="A38" s="170" t="s">
        <v>34</v>
      </c>
      <c r="B38" s="171">
        <v>16</v>
      </c>
      <c r="C38" s="171" t="s">
        <v>69</v>
      </c>
      <c r="D38" s="172">
        <v>0</v>
      </c>
      <c r="E38" s="173">
        <v>0</v>
      </c>
      <c r="F38" s="163"/>
      <c r="G38" s="147" t="s">
        <v>357</v>
      </c>
      <c r="H38" s="148">
        <v>319</v>
      </c>
      <c r="I38" s="205"/>
      <c r="J38" s="148">
        <v>319</v>
      </c>
      <c r="K38" s="154"/>
      <c r="L38" s="136"/>
    </row>
    <row r="39" spans="1:13" ht="12.75" customHeight="1" x14ac:dyDescent="0.3">
      <c r="A39" s="170" t="s">
        <v>35</v>
      </c>
      <c r="B39" s="171">
        <v>17</v>
      </c>
      <c r="C39" s="171" t="s">
        <v>70</v>
      </c>
      <c r="D39" s="172">
        <f>I68</f>
        <v>0</v>
      </c>
      <c r="E39" s="172">
        <f>K68</f>
        <v>0</v>
      </c>
      <c r="F39" s="163"/>
      <c r="G39" s="147" t="s">
        <v>358</v>
      </c>
      <c r="H39" s="148" t="s">
        <v>412</v>
      </c>
      <c r="I39" s="205"/>
      <c r="J39" s="148" t="s">
        <v>412</v>
      </c>
      <c r="K39" s="154"/>
      <c r="M39" s="131"/>
    </row>
    <row r="40" spans="1:13" ht="12.75" customHeight="1" x14ac:dyDescent="0.3">
      <c r="A40" s="170" t="s">
        <v>36</v>
      </c>
      <c r="B40" s="171">
        <v>18</v>
      </c>
      <c r="C40" s="171" t="s">
        <v>71</v>
      </c>
      <c r="D40" s="172">
        <f>I69+I70+I71+I72</f>
        <v>0</v>
      </c>
      <c r="E40" s="172">
        <f>K69+K70+K71+K72</f>
        <v>0</v>
      </c>
      <c r="F40" s="163"/>
      <c r="G40" s="147" t="s">
        <v>359</v>
      </c>
      <c r="H40" s="148">
        <v>329</v>
      </c>
      <c r="I40" s="205"/>
      <c r="J40" s="148">
        <v>329</v>
      </c>
      <c r="K40" s="154"/>
    </row>
    <row r="41" spans="1:13" ht="12.75" customHeight="1" x14ac:dyDescent="0.3">
      <c r="A41" s="170" t="s">
        <v>37</v>
      </c>
      <c r="B41" s="171">
        <v>19</v>
      </c>
      <c r="C41" s="188" t="s">
        <v>72</v>
      </c>
      <c r="D41" s="172">
        <f>+I55</f>
        <v>0</v>
      </c>
      <c r="E41" s="172">
        <v>0</v>
      </c>
      <c r="F41" s="163"/>
      <c r="G41" s="147" t="s">
        <v>360</v>
      </c>
      <c r="H41" s="148">
        <v>3311</v>
      </c>
      <c r="I41" s="205"/>
      <c r="J41" s="148">
        <v>3311</v>
      </c>
      <c r="K41" s="154"/>
    </row>
    <row r="42" spans="1:13" ht="12.75" customHeight="1" x14ac:dyDescent="0.3">
      <c r="A42" s="170"/>
      <c r="B42" s="171"/>
      <c r="C42" s="175" t="s">
        <v>97</v>
      </c>
      <c r="D42" s="186">
        <f>SUM(D37:D41)</f>
        <v>0</v>
      </c>
      <c r="E42" s="187">
        <f>SUM(E37:E41)</f>
        <v>0</v>
      </c>
      <c r="F42" s="163"/>
      <c r="G42" s="147" t="s">
        <v>361</v>
      </c>
      <c r="H42" s="148">
        <v>3312</v>
      </c>
      <c r="I42" s="154"/>
      <c r="J42" s="148">
        <v>3312</v>
      </c>
      <c r="K42" s="154"/>
    </row>
    <row r="43" spans="1:13" ht="12.75" customHeight="1" x14ac:dyDescent="0.3">
      <c r="A43" s="170"/>
      <c r="B43" s="171"/>
      <c r="C43" s="171"/>
      <c r="D43" s="172"/>
      <c r="E43" s="191"/>
      <c r="F43" s="163"/>
      <c r="G43" s="147" t="s">
        <v>362</v>
      </c>
      <c r="H43" s="148">
        <v>3321</v>
      </c>
      <c r="I43" s="154"/>
      <c r="J43" s="148">
        <v>3321</v>
      </c>
      <c r="K43" s="153"/>
    </row>
    <row r="44" spans="1:13" ht="12.75" customHeight="1" x14ac:dyDescent="0.3">
      <c r="A44" s="182" t="s">
        <v>38</v>
      </c>
      <c r="B44" s="171"/>
      <c r="C44" s="171"/>
      <c r="D44" s="172"/>
      <c r="E44" s="172"/>
      <c r="F44" s="163"/>
      <c r="G44" s="147" t="s">
        <v>363</v>
      </c>
      <c r="H44" s="148">
        <v>3322</v>
      </c>
      <c r="I44" s="153"/>
      <c r="J44" s="148">
        <v>3322</v>
      </c>
      <c r="K44" s="153"/>
    </row>
    <row r="45" spans="1:13" ht="12.75" customHeight="1" x14ac:dyDescent="0.3">
      <c r="A45" s="170" t="s">
        <v>39</v>
      </c>
      <c r="B45" s="171">
        <v>19</v>
      </c>
      <c r="C45" s="188" t="s">
        <v>73</v>
      </c>
      <c r="D45" s="192">
        <f>+I39+I48+I50</f>
        <v>12500</v>
      </c>
      <c r="E45" s="172">
        <v>0</v>
      </c>
      <c r="F45" s="140"/>
      <c r="G45" s="147" t="s">
        <v>364</v>
      </c>
      <c r="H45" s="148">
        <v>3331</v>
      </c>
      <c r="I45" s="153"/>
      <c r="J45" s="148">
        <v>3331</v>
      </c>
      <c r="K45" s="153"/>
    </row>
    <row r="46" spans="1:13" ht="12.75" customHeight="1" x14ac:dyDescent="0.3">
      <c r="A46" s="170" t="s">
        <v>40</v>
      </c>
      <c r="B46" s="171">
        <v>20</v>
      </c>
      <c r="C46" s="188" t="s">
        <v>74</v>
      </c>
      <c r="D46" s="192">
        <f>I41+I43+I45</f>
        <v>0</v>
      </c>
      <c r="E46" s="172">
        <v>0</v>
      </c>
      <c r="F46" s="140"/>
      <c r="G46" s="147" t="s">
        <v>365</v>
      </c>
      <c r="H46" s="148">
        <v>3332</v>
      </c>
      <c r="I46" s="153"/>
      <c r="J46" s="148">
        <v>3332</v>
      </c>
      <c r="K46" s="153"/>
    </row>
    <row r="47" spans="1:13" ht="12.75" customHeight="1" x14ac:dyDescent="0.3">
      <c r="A47" s="170" t="s">
        <v>75</v>
      </c>
      <c r="B47" s="171">
        <v>15</v>
      </c>
      <c r="C47" s="171" t="s">
        <v>76</v>
      </c>
      <c r="D47" s="193">
        <v>0</v>
      </c>
      <c r="E47" s="172">
        <v>0</v>
      </c>
      <c r="F47" s="163"/>
      <c r="G47" s="147" t="s">
        <v>366</v>
      </c>
      <c r="H47" s="155" t="s">
        <v>916</v>
      </c>
      <c r="I47" s="205"/>
      <c r="J47" s="155" t="s">
        <v>320</v>
      </c>
      <c r="K47" s="161"/>
    </row>
    <row r="48" spans="1:13" ht="12.75" customHeight="1" x14ac:dyDescent="0.3">
      <c r="A48" s="170" t="s">
        <v>41</v>
      </c>
      <c r="B48" s="171">
        <v>21</v>
      </c>
      <c r="C48" s="171" t="s">
        <v>79</v>
      </c>
      <c r="D48" s="194">
        <f>+I64</f>
        <v>0</v>
      </c>
      <c r="E48" s="172">
        <v>0</v>
      </c>
      <c r="F48" s="140"/>
      <c r="G48" s="147" t="s">
        <v>367</v>
      </c>
      <c r="H48" s="155" t="s">
        <v>315</v>
      </c>
      <c r="I48" s="205"/>
      <c r="J48" s="155" t="s">
        <v>315</v>
      </c>
      <c r="K48" s="156"/>
    </row>
    <row r="49" spans="1:13" ht="12.75" customHeight="1" x14ac:dyDescent="0.3">
      <c r="A49" s="170"/>
      <c r="B49" s="171"/>
      <c r="C49" s="175" t="s">
        <v>98</v>
      </c>
      <c r="D49" s="186">
        <f>SUM(D45:D48)</f>
        <v>12500</v>
      </c>
      <c r="E49" s="186">
        <f>SUM(E45:E48)</f>
        <v>0</v>
      </c>
      <c r="F49" s="163"/>
      <c r="G49" s="147" t="s">
        <v>368</v>
      </c>
      <c r="H49" s="155" t="s">
        <v>917</v>
      </c>
      <c r="I49" s="206"/>
      <c r="J49" s="155" t="s">
        <v>321</v>
      </c>
      <c r="K49" s="153"/>
    </row>
    <row r="50" spans="1:13" ht="12.75" customHeight="1" x14ac:dyDescent="0.3">
      <c r="A50" s="170"/>
      <c r="B50" s="171"/>
      <c r="C50" s="171"/>
      <c r="D50" s="172"/>
      <c r="E50" s="173"/>
      <c r="F50" s="163"/>
      <c r="G50" s="147" t="s">
        <v>369</v>
      </c>
      <c r="H50" s="155" t="s">
        <v>319</v>
      </c>
      <c r="I50" s="207">
        <v>12500</v>
      </c>
      <c r="J50" s="155" t="s">
        <v>319</v>
      </c>
      <c r="K50" s="153"/>
    </row>
    <row r="51" spans="1:13" ht="12.75" customHeight="1" x14ac:dyDescent="0.3">
      <c r="A51" s="195" t="s">
        <v>42</v>
      </c>
      <c r="B51" s="177"/>
      <c r="C51" s="177"/>
      <c r="D51" s="179">
        <f>+D49+D42+D33</f>
        <v>100000</v>
      </c>
      <c r="E51" s="196">
        <f>E49+E42+E33</f>
        <v>0</v>
      </c>
      <c r="F51" s="167"/>
      <c r="G51" s="147" t="s">
        <v>370</v>
      </c>
      <c r="H51" s="155" t="s">
        <v>918</v>
      </c>
      <c r="I51" s="205"/>
      <c r="J51" s="155" t="s">
        <v>322</v>
      </c>
      <c r="K51" s="157"/>
    </row>
    <row r="52" spans="1:13" ht="12.75" customHeight="1" x14ac:dyDescent="0.2">
      <c r="B52" s="3"/>
      <c r="C52" s="3"/>
      <c r="G52" s="147" t="s">
        <v>371</v>
      </c>
      <c r="H52" s="155" t="s">
        <v>316</v>
      </c>
      <c r="I52" s="205"/>
      <c r="J52" s="155" t="s">
        <v>316</v>
      </c>
      <c r="K52" s="157"/>
    </row>
    <row r="53" spans="1:13" ht="12.75" customHeight="1" x14ac:dyDescent="0.2">
      <c r="B53" s="3"/>
      <c r="C53" s="3"/>
      <c r="D53" s="131">
        <f>+D51-D24</f>
        <v>0</v>
      </c>
      <c r="E53" s="131">
        <f>+E51-E24</f>
        <v>0</v>
      </c>
      <c r="F53" s="131"/>
      <c r="G53" s="147" t="s">
        <v>372</v>
      </c>
      <c r="H53" s="155">
        <v>371</v>
      </c>
      <c r="I53" s="208"/>
      <c r="J53" s="155">
        <v>371</v>
      </c>
      <c r="K53" s="156"/>
    </row>
    <row r="54" spans="1:13" ht="12.75" customHeight="1" x14ac:dyDescent="0.2">
      <c r="B54" s="3"/>
      <c r="C54" s="3"/>
      <c r="G54" s="147" t="s">
        <v>373</v>
      </c>
      <c r="H54" s="155">
        <v>372</v>
      </c>
      <c r="I54" s="206"/>
      <c r="J54" s="155">
        <v>372</v>
      </c>
      <c r="K54" s="153"/>
    </row>
    <row r="55" spans="1:13" ht="12.75" customHeight="1" x14ac:dyDescent="0.2">
      <c r="B55" s="3"/>
      <c r="C55" s="3"/>
      <c r="E55" s="131"/>
      <c r="F55" s="131"/>
      <c r="G55" s="147" t="s">
        <v>374</v>
      </c>
      <c r="H55" s="155">
        <v>373</v>
      </c>
      <c r="I55" s="208"/>
      <c r="J55" s="155">
        <v>373</v>
      </c>
      <c r="K55" s="156"/>
    </row>
    <row r="56" spans="1:13" ht="12.75" customHeight="1" x14ac:dyDescent="0.2">
      <c r="B56" s="3"/>
      <c r="C56" s="3"/>
      <c r="D56" s="131"/>
      <c r="G56" s="147" t="s">
        <v>375</v>
      </c>
      <c r="H56" s="155">
        <v>374</v>
      </c>
      <c r="I56" s="208"/>
      <c r="J56" s="155">
        <v>374</v>
      </c>
      <c r="K56" s="156"/>
    </row>
    <row r="57" spans="1:13" ht="12.75" customHeight="1" x14ac:dyDescent="0.2">
      <c r="B57" s="3"/>
      <c r="C57" s="3"/>
      <c r="G57" s="147" t="s">
        <v>376</v>
      </c>
      <c r="H57" s="155">
        <v>375</v>
      </c>
      <c r="I57" s="207"/>
      <c r="J57" s="155">
        <v>375</v>
      </c>
      <c r="K57" s="156"/>
    </row>
    <row r="58" spans="1:13" ht="12.75" customHeight="1" x14ac:dyDescent="0.2">
      <c r="B58" s="3"/>
      <c r="C58" s="3"/>
      <c r="G58" s="147" t="s">
        <v>377</v>
      </c>
      <c r="H58" s="155">
        <v>376</v>
      </c>
      <c r="I58" s="206"/>
      <c r="J58" s="155">
        <v>376</v>
      </c>
      <c r="K58" s="153"/>
    </row>
    <row r="59" spans="1:13" ht="12.75" customHeight="1" x14ac:dyDescent="0.2">
      <c r="B59" s="3"/>
      <c r="C59" s="3"/>
      <c r="G59" s="147" t="s">
        <v>378</v>
      </c>
      <c r="H59" s="155" t="s">
        <v>913</v>
      </c>
      <c r="I59" s="208"/>
      <c r="J59" s="155" t="s">
        <v>327</v>
      </c>
      <c r="K59" s="156"/>
    </row>
    <row r="60" spans="1:13" ht="12.75" customHeight="1" x14ac:dyDescent="0.2">
      <c r="B60" s="3"/>
      <c r="C60" s="3"/>
      <c r="G60" s="147" t="s">
        <v>379</v>
      </c>
      <c r="H60" s="155" t="s">
        <v>328</v>
      </c>
      <c r="I60" s="208"/>
      <c r="J60" s="155" t="s">
        <v>328</v>
      </c>
      <c r="K60" s="156"/>
      <c r="M60" s="139"/>
    </row>
    <row r="61" spans="1:13" ht="12.75" customHeight="1" x14ac:dyDescent="0.2">
      <c r="B61" s="3"/>
      <c r="C61" s="3"/>
      <c r="E61" s="131"/>
      <c r="G61" s="147" t="s">
        <v>380</v>
      </c>
      <c r="H61" s="155" t="s">
        <v>914</v>
      </c>
      <c r="I61" s="205"/>
      <c r="J61" s="155" t="s">
        <v>323</v>
      </c>
      <c r="K61" s="153"/>
    </row>
    <row r="62" spans="1:13" ht="12.75" customHeight="1" x14ac:dyDescent="0.2">
      <c r="B62" s="3"/>
      <c r="C62" s="3"/>
      <c r="G62" s="147" t="s">
        <v>381</v>
      </c>
      <c r="H62" s="155" t="s">
        <v>324</v>
      </c>
      <c r="I62" s="205"/>
      <c r="J62" s="155" t="s">
        <v>324</v>
      </c>
      <c r="K62" s="153"/>
    </row>
    <row r="63" spans="1:13" ht="12.75" customHeight="1" x14ac:dyDescent="0.2">
      <c r="B63" s="3"/>
      <c r="C63" s="3"/>
      <c r="G63" s="147" t="s">
        <v>382</v>
      </c>
      <c r="H63" s="155" t="s">
        <v>915</v>
      </c>
      <c r="I63" s="208"/>
      <c r="J63" s="155" t="s">
        <v>325</v>
      </c>
      <c r="K63" s="156"/>
    </row>
    <row r="64" spans="1:13" ht="12.75" customHeight="1" x14ac:dyDescent="0.2">
      <c r="B64" s="3"/>
      <c r="C64" s="3"/>
      <c r="G64" s="147" t="s">
        <v>383</v>
      </c>
      <c r="H64" s="155" t="s">
        <v>326</v>
      </c>
      <c r="I64" s="208"/>
      <c r="J64" s="155" t="s">
        <v>326</v>
      </c>
      <c r="K64" s="156"/>
    </row>
    <row r="65" spans="2:11" ht="12.75" customHeight="1" x14ac:dyDescent="0.2">
      <c r="B65" s="3"/>
      <c r="C65" s="3"/>
      <c r="G65" s="147" t="s">
        <v>384</v>
      </c>
      <c r="H65" s="155">
        <v>381</v>
      </c>
      <c r="I65" s="208"/>
      <c r="J65" s="155">
        <v>381</v>
      </c>
      <c r="K65" s="156"/>
    </row>
    <row r="66" spans="2:11" ht="12.75" customHeight="1" x14ac:dyDescent="0.2">
      <c r="B66" s="3"/>
      <c r="C66" s="3"/>
      <c r="G66" s="147" t="s">
        <v>385</v>
      </c>
      <c r="H66" s="148">
        <v>382</v>
      </c>
      <c r="I66" s="206"/>
      <c r="J66" s="148">
        <v>382</v>
      </c>
      <c r="K66" s="153"/>
    </row>
    <row r="67" spans="2:11" ht="12.75" customHeight="1" x14ac:dyDescent="0.2">
      <c r="B67" s="3"/>
      <c r="C67" s="3"/>
      <c r="G67" s="147" t="s">
        <v>386</v>
      </c>
      <c r="H67" s="148">
        <v>383</v>
      </c>
      <c r="I67" s="206"/>
      <c r="J67" s="148">
        <v>383</v>
      </c>
      <c r="K67" s="153"/>
    </row>
    <row r="68" spans="2:11" ht="12.75" customHeight="1" x14ac:dyDescent="0.2">
      <c r="B68" s="3"/>
      <c r="C68" s="3"/>
      <c r="G68" s="147" t="s">
        <v>387</v>
      </c>
      <c r="H68" s="148">
        <v>391</v>
      </c>
      <c r="I68" s="206"/>
      <c r="J68" s="148">
        <v>391</v>
      </c>
      <c r="K68" s="153"/>
    </row>
    <row r="69" spans="2:11" ht="12.75" customHeight="1" x14ac:dyDescent="0.2">
      <c r="B69" s="3"/>
      <c r="C69" s="3"/>
      <c r="G69" s="147" t="s">
        <v>388</v>
      </c>
      <c r="H69" s="148">
        <v>392</v>
      </c>
      <c r="I69" s="206"/>
      <c r="J69" s="148">
        <v>392</v>
      </c>
      <c r="K69" s="153"/>
    </row>
    <row r="70" spans="2:11" ht="12.75" customHeight="1" x14ac:dyDescent="0.2">
      <c r="B70" s="3"/>
      <c r="C70" s="3"/>
      <c r="G70" s="147" t="s">
        <v>389</v>
      </c>
      <c r="H70" s="148">
        <v>393</v>
      </c>
      <c r="I70" s="206"/>
      <c r="J70" s="148">
        <v>393</v>
      </c>
      <c r="K70" s="153"/>
    </row>
    <row r="71" spans="2:11" ht="12.75" customHeight="1" x14ac:dyDescent="0.2">
      <c r="B71" s="3"/>
      <c r="C71" s="3"/>
      <c r="G71" s="147" t="s">
        <v>390</v>
      </c>
      <c r="H71" s="148">
        <v>394</v>
      </c>
      <c r="I71" s="206"/>
      <c r="J71" s="148">
        <v>394</v>
      </c>
      <c r="K71" s="153"/>
    </row>
    <row r="72" spans="2:11" ht="12.75" customHeight="1" x14ac:dyDescent="0.2">
      <c r="B72" s="3"/>
      <c r="C72" s="3"/>
      <c r="G72" s="147" t="s">
        <v>391</v>
      </c>
      <c r="H72" s="148">
        <v>399</v>
      </c>
      <c r="I72" s="206"/>
      <c r="J72" s="148">
        <v>399</v>
      </c>
      <c r="K72" s="153"/>
    </row>
    <row r="73" spans="2:11" ht="12.75" customHeight="1" x14ac:dyDescent="0.2">
      <c r="B73" s="3"/>
      <c r="C73" s="3"/>
      <c r="G73" s="147" t="s">
        <v>392</v>
      </c>
      <c r="H73" s="148">
        <v>41</v>
      </c>
      <c r="I73" s="206"/>
      <c r="J73" s="148">
        <v>41</v>
      </c>
      <c r="K73" s="153"/>
    </row>
    <row r="74" spans="2:11" ht="12.75" customHeight="1" x14ac:dyDescent="0.2">
      <c r="B74" s="3"/>
      <c r="C74" s="3"/>
      <c r="G74" s="147" t="s">
        <v>393</v>
      </c>
      <c r="H74" s="148">
        <v>42</v>
      </c>
      <c r="I74" s="208"/>
      <c r="J74" s="148">
        <v>42</v>
      </c>
      <c r="K74" s="156"/>
    </row>
    <row r="75" spans="2:11" ht="12.75" customHeight="1" x14ac:dyDescent="0.2">
      <c r="B75" s="3"/>
      <c r="C75" s="3"/>
      <c r="G75" s="147" t="s">
        <v>394</v>
      </c>
      <c r="H75" s="148">
        <v>43</v>
      </c>
      <c r="I75" s="205">
        <v>100000</v>
      </c>
      <c r="J75" s="148">
        <v>43</v>
      </c>
      <c r="K75" s="156"/>
    </row>
    <row r="76" spans="2:11" ht="12.75" customHeight="1" x14ac:dyDescent="0.2">
      <c r="B76" s="3"/>
      <c r="C76" s="3"/>
      <c r="G76" s="147" t="s">
        <v>395</v>
      </c>
      <c r="H76" s="148">
        <v>45</v>
      </c>
      <c r="I76" s="204"/>
      <c r="J76" s="148">
        <v>45</v>
      </c>
      <c r="K76" s="156"/>
    </row>
    <row r="77" spans="2:11" ht="12.75" customHeight="1" x14ac:dyDescent="0.2">
      <c r="B77" s="3"/>
      <c r="C77" s="3"/>
      <c r="G77" s="147" t="s">
        <v>396</v>
      </c>
      <c r="H77" s="148">
        <v>48</v>
      </c>
      <c r="I77" s="206"/>
      <c r="J77" s="148">
        <v>48</v>
      </c>
      <c r="K77" s="153"/>
    </row>
    <row r="78" spans="2:11" ht="12.75" customHeight="1" x14ac:dyDescent="0.2">
      <c r="B78" s="3"/>
      <c r="C78" s="3"/>
      <c r="G78" s="147" t="s">
        <v>397</v>
      </c>
      <c r="H78" s="148">
        <v>49</v>
      </c>
      <c r="I78" s="206"/>
      <c r="J78" s="148">
        <v>49</v>
      </c>
      <c r="K78" s="153"/>
    </row>
    <row r="79" spans="2:11" ht="12.75" customHeight="1" x14ac:dyDescent="0.2">
      <c r="B79" s="3"/>
      <c r="C79" s="3"/>
      <c r="G79" s="147" t="s">
        <v>398</v>
      </c>
      <c r="H79" s="148">
        <v>51</v>
      </c>
      <c r="I79" s="207">
        <v>100000</v>
      </c>
      <c r="J79" s="148">
        <v>51</v>
      </c>
      <c r="K79" s="156"/>
    </row>
    <row r="80" spans="2:11" ht="12.75" customHeight="1" x14ac:dyDescent="0.2">
      <c r="B80" s="3"/>
      <c r="C80" s="3"/>
      <c r="G80" s="147" t="s">
        <v>399</v>
      </c>
      <c r="H80" s="148">
        <v>52</v>
      </c>
      <c r="I80" s="206"/>
      <c r="J80" s="148">
        <v>52</v>
      </c>
      <c r="K80" s="153"/>
    </row>
    <row r="81" spans="2:11" ht="12.75" customHeight="1" x14ac:dyDescent="0.2">
      <c r="B81" s="3"/>
      <c r="C81" s="3"/>
      <c r="G81" s="147" t="s">
        <v>400</v>
      </c>
      <c r="H81" s="148">
        <v>53</v>
      </c>
      <c r="I81" s="206"/>
      <c r="J81" s="148">
        <v>53</v>
      </c>
      <c r="K81" s="153"/>
    </row>
    <row r="82" spans="2:11" ht="12.75" customHeight="1" x14ac:dyDescent="0.2">
      <c r="B82" s="3"/>
      <c r="C82" s="3"/>
      <c r="G82" s="147" t="s">
        <v>401</v>
      </c>
      <c r="H82" s="148">
        <v>54</v>
      </c>
      <c r="I82" s="206"/>
      <c r="J82" s="148">
        <v>54</v>
      </c>
      <c r="K82" s="153"/>
    </row>
    <row r="83" spans="2:11" ht="12.75" customHeight="1" x14ac:dyDescent="0.2">
      <c r="B83" s="3"/>
      <c r="C83" s="3"/>
      <c r="G83" s="147" t="s">
        <v>402</v>
      </c>
      <c r="H83" s="148">
        <v>55</v>
      </c>
      <c r="I83" s="206"/>
      <c r="J83" s="148">
        <v>55</v>
      </c>
      <c r="K83" s="153"/>
    </row>
    <row r="84" spans="2:11" ht="12.75" customHeight="1" x14ac:dyDescent="0.2">
      <c r="B84" s="3"/>
      <c r="C84" s="3"/>
      <c r="G84" s="147" t="s">
        <v>403</v>
      </c>
      <c r="H84" s="148">
        <v>56</v>
      </c>
      <c r="I84" s="206"/>
      <c r="J84" s="148">
        <v>56</v>
      </c>
      <c r="K84" s="153"/>
    </row>
    <row r="85" spans="2:11" ht="12.75" customHeight="1" x14ac:dyDescent="0.2">
      <c r="B85" s="3"/>
      <c r="C85" s="3"/>
      <c r="G85" s="147" t="s">
        <v>404</v>
      </c>
      <c r="H85" s="148">
        <v>57</v>
      </c>
      <c r="I85" s="206"/>
      <c r="J85" s="148">
        <v>57</v>
      </c>
      <c r="K85" s="153"/>
    </row>
    <row r="86" spans="2:11" ht="12.75" customHeight="1" x14ac:dyDescent="0.2">
      <c r="B86" s="3"/>
      <c r="C86" s="3"/>
      <c r="G86" s="147" t="s">
        <v>405</v>
      </c>
      <c r="H86" s="148">
        <v>58</v>
      </c>
      <c r="I86" s="206"/>
      <c r="J86" s="148">
        <v>58</v>
      </c>
      <c r="K86" s="153"/>
    </row>
    <row r="87" spans="2:11" ht="12.75" customHeight="1" x14ac:dyDescent="0.2">
      <c r="B87" s="3"/>
      <c r="C87" s="3"/>
      <c r="G87" s="147" t="s">
        <v>406</v>
      </c>
      <c r="H87" s="148">
        <v>59</v>
      </c>
      <c r="I87" s="206"/>
      <c r="J87" s="148">
        <v>59</v>
      </c>
      <c r="K87" s="153"/>
    </row>
    <row r="88" spans="2:11" ht="12.75" customHeight="1" x14ac:dyDescent="0.2">
      <c r="B88" s="3"/>
      <c r="C88" s="3"/>
      <c r="G88" s="147" t="s">
        <v>407</v>
      </c>
      <c r="H88" s="148">
        <v>81</v>
      </c>
      <c r="I88" s="207"/>
      <c r="J88" s="148">
        <v>81</v>
      </c>
      <c r="K88" s="156"/>
    </row>
    <row r="89" spans="2:11" ht="12.75" customHeight="1" x14ac:dyDescent="0.2">
      <c r="B89" s="3"/>
      <c r="C89" s="3"/>
      <c r="G89" s="147" t="s">
        <v>408</v>
      </c>
      <c r="H89" s="148">
        <v>88</v>
      </c>
      <c r="I89" s="208">
        <v>-12500</v>
      </c>
      <c r="J89" s="148">
        <v>88</v>
      </c>
      <c r="K89" s="156"/>
    </row>
    <row r="90" spans="2:11" ht="12.75" customHeight="1" x14ac:dyDescent="0.2">
      <c r="B90" s="3"/>
      <c r="C90" s="3"/>
      <c r="G90" s="147" t="s">
        <v>409</v>
      </c>
      <c r="H90" s="148">
        <v>3392</v>
      </c>
      <c r="I90" s="208"/>
      <c r="J90" s="148">
        <v>3392</v>
      </c>
      <c r="K90" s="156"/>
    </row>
    <row r="91" spans="2:11" ht="12.75" customHeight="1" x14ac:dyDescent="0.2">
      <c r="B91" s="3"/>
      <c r="C91" s="3"/>
      <c r="G91" s="147" t="s">
        <v>410</v>
      </c>
      <c r="H91" s="148">
        <v>3391</v>
      </c>
      <c r="I91" s="206"/>
      <c r="J91" s="148">
        <v>3391</v>
      </c>
      <c r="K91" s="153"/>
    </row>
    <row r="92" spans="2:11" ht="12.75" customHeight="1" x14ac:dyDescent="0.2">
      <c r="B92" s="3"/>
      <c r="C92" s="3"/>
      <c r="G92" s="158" t="s">
        <v>411</v>
      </c>
      <c r="H92" s="159">
        <v>21</v>
      </c>
      <c r="I92" s="160"/>
      <c r="J92" s="159">
        <v>21</v>
      </c>
      <c r="K92" s="160"/>
    </row>
    <row r="93" spans="2:11" ht="12.75" customHeight="1" x14ac:dyDescent="0.15">
      <c r="B93" s="3"/>
      <c r="C93" s="3"/>
    </row>
    <row r="94" spans="2:11" ht="12.75" customHeight="1" x14ac:dyDescent="0.15">
      <c r="B94" s="3"/>
      <c r="C94" s="3"/>
    </row>
    <row r="95" spans="2:11" ht="12.75" customHeight="1" x14ac:dyDescent="0.15">
      <c r="B95" s="3"/>
      <c r="C95" s="3"/>
    </row>
    <row r="96" spans="2:11" ht="12.75" customHeight="1" x14ac:dyDescent="0.15">
      <c r="B96" s="3"/>
      <c r="C96" s="3"/>
    </row>
    <row r="97" spans="2:3" ht="12.75" customHeight="1" x14ac:dyDescent="0.15">
      <c r="B97" s="3"/>
      <c r="C97" s="3"/>
    </row>
    <row r="98" spans="2:3" ht="12.75" customHeight="1" x14ac:dyDescent="0.15">
      <c r="B98" s="3"/>
      <c r="C98" s="3"/>
    </row>
    <row r="99" spans="2:3" ht="12.75" customHeight="1" x14ac:dyDescent="0.15">
      <c r="B99" s="3"/>
      <c r="C99" s="3"/>
    </row>
    <row r="100" spans="2:3" ht="12.75" customHeight="1" x14ac:dyDescent="0.15">
      <c r="B100" s="3"/>
      <c r="C100" s="3"/>
    </row>
    <row r="101" spans="2:3" ht="12.75" customHeight="1" x14ac:dyDescent="0.15">
      <c r="B101" s="3"/>
      <c r="C101" s="3"/>
    </row>
    <row r="102" spans="2:3" ht="12.75" customHeight="1" x14ac:dyDescent="0.15">
      <c r="B102" s="3"/>
      <c r="C102" s="3"/>
    </row>
    <row r="103" spans="2:3" ht="12.75" customHeight="1" x14ac:dyDescent="0.15">
      <c r="B103" s="3"/>
      <c r="C103" s="3"/>
    </row>
    <row r="104" spans="2:3" ht="12.75" customHeight="1" x14ac:dyDescent="0.15">
      <c r="B104" s="3"/>
      <c r="C104" s="3"/>
    </row>
    <row r="105" spans="2:3" ht="12.75" customHeight="1" x14ac:dyDescent="0.15">
      <c r="B105" s="3"/>
      <c r="C105" s="3"/>
    </row>
    <row r="106" spans="2:3" ht="12.75" customHeight="1" x14ac:dyDescent="0.15">
      <c r="B106" s="3"/>
      <c r="C106" s="3"/>
    </row>
    <row r="107" spans="2:3" ht="12.75" customHeight="1" x14ac:dyDescent="0.15">
      <c r="B107" s="3"/>
      <c r="C107" s="3"/>
    </row>
    <row r="108" spans="2:3" ht="12.75" customHeight="1" x14ac:dyDescent="0.15">
      <c r="B108" s="3"/>
      <c r="C108" s="3"/>
    </row>
    <row r="109" spans="2:3" ht="12.75" customHeight="1" x14ac:dyDescent="0.15">
      <c r="B109" s="3"/>
      <c r="C109" s="3"/>
    </row>
    <row r="110" spans="2:3" ht="12.75" customHeight="1" x14ac:dyDescent="0.15">
      <c r="B110" s="3"/>
      <c r="C110" s="3"/>
    </row>
    <row r="111" spans="2:3" ht="12.75" customHeight="1" x14ac:dyDescent="0.15">
      <c r="B111" s="3"/>
      <c r="C111" s="3"/>
    </row>
    <row r="112" spans="2:3" ht="12.75" customHeight="1" x14ac:dyDescent="0.15">
      <c r="B112" s="3"/>
      <c r="C112" s="3"/>
    </row>
    <row r="113" spans="2:3" ht="12.75" customHeight="1" x14ac:dyDescent="0.15">
      <c r="B113" s="3"/>
      <c r="C113" s="3"/>
    </row>
    <row r="114" spans="2:3" ht="12.75" customHeight="1" x14ac:dyDescent="0.15">
      <c r="B114" s="3"/>
      <c r="C114" s="3"/>
    </row>
    <row r="115" spans="2:3" ht="12.75" customHeight="1" x14ac:dyDescent="0.15">
      <c r="B115" s="3"/>
      <c r="C115" s="3"/>
    </row>
    <row r="116" spans="2:3" ht="12.75" customHeight="1" x14ac:dyDescent="0.15">
      <c r="B116" s="3"/>
      <c r="C116" s="3"/>
    </row>
    <row r="117" spans="2:3" ht="12.75" customHeight="1" x14ac:dyDescent="0.15">
      <c r="B117" s="3"/>
      <c r="C117" s="3"/>
    </row>
    <row r="118" spans="2:3" ht="12.75" customHeight="1" x14ac:dyDescent="0.15">
      <c r="B118" s="3"/>
      <c r="C118" s="3"/>
    </row>
    <row r="119" spans="2:3" ht="12.75" customHeight="1" x14ac:dyDescent="0.15">
      <c r="B119" s="3"/>
      <c r="C119" s="3"/>
    </row>
    <row r="120" spans="2:3" ht="12.75" customHeight="1" x14ac:dyDescent="0.15">
      <c r="B120" s="3"/>
      <c r="C120" s="3"/>
    </row>
    <row r="121" spans="2:3" ht="12.75" customHeight="1" x14ac:dyDescent="0.15">
      <c r="B121" s="3"/>
      <c r="C121" s="3"/>
    </row>
    <row r="122" spans="2:3" ht="12.75" customHeight="1" x14ac:dyDescent="0.15">
      <c r="B122" s="3"/>
      <c r="C122" s="3"/>
    </row>
    <row r="123" spans="2:3" ht="12.75" customHeight="1" x14ac:dyDescent="0.15">
      <c r="B123" s="3"/>
      <c r="C123" s="3"/>
    </row>
    <row r="124" spans="2:3" ht="12.75" customHeight="1" x14ac:dyDescent="0.15">
      <c r="B124" s="3"/>
      <c r="C124" s="3"/>
    </row>
    <row r="125" spans="2:3" ht="12.75" customHeight="1" x14ac:dyDescent="0.15">
      <c r="B125" s="3"/>
      <c r="C125" s="3"/>
    </row>
    <row r="126" spans="2:3" ht="12.75" customHeight="1" x14ac:dyDescent="0.15">
      <c r="B126" s="3"/>
      <c r="C126" s="3"/>
    </row>
    <row r="127" spans="2:3" ht="12.75" customHeight="1" x14ac:dyDescent="0.15">
      <c r="B127" s="3"/>
      <c r="C127" s="3"/>
    </row>
    <row r="128" spans="2:3" ht="12.75" customHeight="1" x14ac:dyDescent="0.15">
      <c r="B128" s="3"/>
      <c r="C128" s="3"/>
    </row>
    <row r="129" spans="2:3" ht="12.75" customHeight="1" x14ac:dyDescent="0.15">
      <c r="B129" s="3"/>
      <c r="C129" s="3"/>
    </row>
    <row r="130" spans="2:3" ht="12.75" customHeight="1" x14ac:dyDescent="0.15">
      <c r="B130" s="3"/>
      <c r="C130" s="3"/>
    </row>
    <row r="131" spans="2:3" ht="12.75" customHeight="1" x14ac:dyDescent="0.15">
      <c r="B131" s="3"/>
      <c r="C131" s="3"/>
    </row>
    <row r="132" spans="2:3" ht="12.75" customHeight="1" x14ac:dyDescent="0.15">
      <c r="B132" s="3"/>
      <c r="C132" s="3"/>
    </row>
    <row r="133" spans="2:3" ht="12.75" customHeight="1" x14ac:dyDescent="0.15">
      <c r="B133" s="3"/>
      <c r="C133" s="3"/>
    </row>
    <row r="134" spans="2:3" ht="12.75" customHeight="1" x14ac:dyDescent="0.15">
      <c r="B134" s="3"/>
      <c r="C134" s="3"/>
    </row>
    <row r="135" spans="2:3" ht="12.75" customHeight="1" x14ac:dyDescent="0.15">
      <c r="B135" s="3"/>
      <c r="C135" s="3"/>
    </row>
    <row r="136" spans="2:3" ht="12.75" customHeight="1" x14ac:dyDescent="0.15">
      <c r="B136" s="3"/>
      <c r="C136" s="3"/>
    </row>
    <row r="137" spans="2:3" ht="12.75" customHeight="1" x14ac:dyDescent="0.15">
      <c r="B137" s="3"/>
      <c r="C137" s="3"/>
    </row>
    <row r="138" spans="2:3" ht="12.75" customHeight="1" x14ac:dyDescent="0.15">
      <c r="B138" s="3"/>
      <c r="C138" s="3"/>
    </row>
    <row r="139" spans="2:3" ht="12.75" customHeight="1" x14ac:dyDescent="0.15">
      <c r="B139" s="3"/>
      <c r="C139" s="3"/>
    </row>
    <row r="140" spans="2:3" ht="12.75" customHeight="1" x14ac:dyDescent="0.15">
      <c r="B140" s="3"/>
      <c r="C140" s="3"/>
    </row>
    <row r="141" spans="2:3" ht="12.75" customHeight="1" x14ac:dyDescent="0.15">
      <c r="B141" s="3"/>
      <c r="C141" s="3"/>
    </row>
    <row r="142" spans="2:3" ht="12.75" customHeight="1" x14ac:dyDescent="0.15">
      <c r="B142" s="3"/>
      <c r="C142" s="3"/>
    </row>
    <row r="143" spans="2:3" ht="12.75" customHeight="1" x14ac:dyDescent="0.15">
      <c r="B143" s="3"/>
      <c r="C143" s="3"/>
    </row>
    <row r="144" spans="2:3" ht="12.75" customHeight="1" x14ac:dyDescent="0.15">
      <c r="B144" s="3"/>
      <c r="C144" s="3"/>
    </row>
    <row r="145" spans="2:3" ht="12.75" customHeight="1" x14ac:dyDescent="0.15">
      <c r="B145" s="3"/>
      <c r="C145" s="3"/>
    </row>
    <row r="146" spans="2:3" ht="12.75" customHeight="1" x14ac:dyDescent="0.15">
      <c r="B146" s="3"/>
      <c r="C146" s="3"/>
    </row>
    <row r="147" spans="2:3" ht="12.75" customHeight="1" x14ac:dyDescent="0.15">
      <c r="B147" s="3"/>
      <c r="C147" s="3"/>
    </row>
    <row r="148" spans="2:3" ht="12.75" customHeight="1" x14ac:dyDescent="0.15">
      <c r="B148" s="3"/>
      <c r="C148" s="3"/>
    </row>
    <row r="149" spans="2:3" ht="12.75" customHeight="1" x14ac:dyDescent="0.15">
      <c r="B149" s="3"/>
      <c r="C149" s="3"/>
    </row>
    <row r="150" spans="2:3" ht="12.75" customHeight="1" x14ac:dyDescent="0.15">
      <c r="B150" s="3"/>
      <c r="C150" s="3"/>
    </row>
    <row r="151" spans="2:3" ht="12.75" customHeight="1" x14ac:dyDescent="0.15">
      <c r="B151" s="3"/>
      <c r="C151" s="3"/>
    </row>
    <row r="152" spans="2:3" ht="12.75" customHeight="1" x14ac:dyDescent="0.15">
      <c r="B152" s="3"/>
      <c r="C152" s="3"/>
    </row>
    <row r="153" spans="2:3" ht="12.75" customHeight="1" x14ac:dyDescent="0.15">
      <c r="B153" s="3"/>
      <c r="C153" s="3"/>
    </row>
    <row r="154" spans="2:3" ht="12.75" customHeight="1" x14ac:dyDescent="0.15">
      <c r="B154" s="3"/>
      <c r="C154" s="3"/>
    </row>
    <row r="155" spans="2:3" ht="12.75" customHeight="1" x14ac:dyDescent="0.15">
      <c r="B155" s="3"/>
      <c r="C155" s="3"/>
    </row>
    <row r="156" spans="2:3" ht="12.75" customHeight="1" x14ac:dyDescent="0.15">
      <c r="B156" s="3"/>
      <c r="C156" s="3"/>
    </row>
    <row r="157" spans="2:3" ht="12.75" customHeight="1" x14ac:dyDescent="0.15">
      <c r="B157" s="3"/>
      <c r="C157" s="3"/>
    </row>
    <row r="158" spans="2:3" ht="12.75" customHeight="1" x14ac:dyDescent="0.15">
      <c r="B158" s="3"/>
      <c r="C158" s="3"/>
    </row>
    <row r="159" spans="2:3" ht="12.75" customHeight="1" x14ac:dyDescent="0.15">
      <c r="B159" s="3"/>
      <c r="C159" s="3"/>
    </row>
    <row r="160" spans="2:3" ht="12.75" customHeight="1" x14ac:dyDescent="0.15">
      <c r="B160" s="3"/>
      <c r="C160" s="3"/>
    </row>
    <row r="161" spans="2:3" ht="12.75" customHeight="1" x14ac:dyDescent="0.15">
      <c r="B161" s="3"/>
      <c r="C161" s="3"/>
    </row>
    <row r="162" spans="2:3" ht="12.75" customHeight="1" x14ac:dyDescent="0.15">
      <c r="B162" s="3"/>
      <c r="C162" s="3"/>
    </row>
    <row r="163" spans="2:3" ht="12.75" customHeight="1" x14ac:dyDescent="0.15">
      <c r="B163" s="3"/>
      <c r="C163" s="3"/>
    </row>
    <row r="164" spans="2:3" ht="12.75" customHeight="1" x14ac:dyDescent="0.15">
      <c r="B164" s="3"/>
      <c r="C164" s="3"/>
    </row>
    <row r="165" spans="2:3" ht="12.75" customHeight="1" x14ac:dyDescent="0.15">
      <c r="B165" s="3"/>
      <c r="C165" s="3"/>
    </row>
    <row r="166" spans="2:3" ht="12.75" customHeight="1" x14ac:dyDescent="0.15">
      <c r="B166" s="3"/>
      <c r="C166" s="3"/>
    </row>
    <row r="167" spans="2:3" ht="12.75" customHeight="1" x14ac:dyDescent="0.15">
      <c r="B167" s="3"/>
      <c r="C167" s="3"/>
    </row>
    <row r="168" spans="2:3" ht="12.75" customHeight="1" x14ac:dyDescent="0.15">
      <c r="B168" s="3"/>
      <c r="C168" s="3"/>
    </row>
    <row r="169" spans="2:3" ht="12.75" customHeight="1" x14ac:dyDescent="0.15">
      <c r="B169" s="3"/>
      <c r="C169" s="3"/>
    </row>
    <row r="170" spans="2:3" ht="12.75" customHeight="1" x14ac:dyDescent="0.15">
      <c r="B170" s="3"/>
      <c r="C170" s="3"/>
    </row>
    <row r="171" spans="2:3" ht="12.75" customHeight="1" x14ac:dyDescent="0.15">
      <c r="B171" s="3"/>
      <c r="C171" s="3"/>
    </row>
    <row r="172" spans="2:3" ht="12.75" customHeight="1" x14ac:dyDescent="0.15">
      <c r="B172" s="3"/>
      <c r="C172" s="3"/>
    </row>
    <row r="173" spans="2:3" ht="12.75" customHeight="1" x14ac:dyDescent="0.15">
      <c r="B173" s="3"/>
      <c r="C173" s="3"/>
    </row>
    <row r="174" spans="2:3" ht="12.75" customHeight="1" x14ac:dyDescent="0.15">
      <c r="B174" s="3"/>
      <c r="C174" s="3"/>
    </row>
    <row r="175" spans="2:3" ht="12.75" customHeight="1" x14ac:dyDescent="0.15">
      <c r="B175" s="3"/>
      <c r="C175" s="3"/>
    </row>
    <row r="176" spans="2:3" ht="12.75" customHeight="1" x14ac:dyDescent="0.15">
      <c r="B176" s="3"/>
      <c r="C176" s="3"/>
    </row>
    <row r="177" spans="2:3" ht="12.75" customHeight="1" x14ac:dyDescent="0.15">
      <c r="B177" s="3"/>
      <c r="C177" s="3"/>
    </row>
    <row r="178" spans="2:3" ht="12.75" customHeight="1" x14ac:dyDescent="0.15">
      <c r="B178" s="3"/>
      <c r="C178" s="3"/>
    </row>
    <row r="179" spans="2:3" ht="12.75" customHeight="1" x14ac:dyDescent="0.15">
      <c r="B179" s="3"/>
      <c r="C179" s="3"/>
    </row>
    <row r="180" spans="2:3" ht="12.75" customHeight="1" x14ac:dyDescent="0.15">
      <c r="B180" s="3"/>
      <c r="C180" s="3"/>
    </row>
    <row r="181" spans="2:3" ht="12.75" customHeight="1" x14ac:dyDescent="0.15">
      <c r="B181" s="3"/>
      <c r="C181" s="3"/>
    </row>
    <row r="182" spans="2:3" ht="12.75" customHeight="1" x14ac:dyDescent="0.15">
      <c r="B182" s="3"/>
      <c r="C182" s="3"/>
    </row>
    <row r="183" spans="2:3" ht="12.75" customHeight="1" x14ac:dyDescent="0.15">
      <c r="B183" s="3"/>
      <c r="C183" s="3"/>
    </row>
    <row r="184" spans="2:3" ht="12.75" customHeight="1" x14ac:dyDescent="0.15">
      <c r="B184" s="3"/>
      <c r="C184" s="3"/>
    </row>
    <row r="185" spans="2:3" ht="12.75" customHeight="1" x14ac:dyDescent="0.15">
      <c r="B185" s="3"/>
      <c r="C185" s="3"/>
    </row>
    <row r="186" spans="2:3" ht="12.75" customHeight="1" x14ac:dyDescent="0.15">
      <c r="B186" s="3"/>
      <c r="C186" s="3"/>
    </row>
    <row r="187" spans="2:3" ht="12.75" customHeight="1" x14ac:dyDescent="0.15">
      <c r="B187" s="3"/>
      <c r="C187" s="3"/>
    </row>
    <row r="188" spans="2:3" ht="12.75" customHeight="1" x14ac:dyDescent="0.15">
      <c r="B188" s="3"/>
      <c r="C188" s="3"/>
    </row>
    <row r="189" spans="2:3" ht="12.75" customHeight="1" x14ac:dyDescent="0.15">
      <c r="B189" s="3"/>
      <c r="C189" s="3"/>
    </row>
    <row r="190" spans="2:3" ht="12.75" customHeight="1" x14ac:dyDescent="0.15">
      <c r="B190" s="3"/>
      <c r="C190" s="3"/>
    </row>
    <row r="191" spans="2:3" ht="12.75" customHeight="1" x14ac:dyDescent="0.15">
      <c r="B191" s="3"/>
      <c r="C191" s="3"/>
    </row>
    <row r="192" spans="2:3" ht="12.75" customHeight="1" x14ac:dyDescent="0.15">
      <c r="B192" s="3"/>
      <c r="C192" s="3"/>
    </row>
    <row r="193" spans="2:3" ht="12.75" customHeight="1" x14ac:dyDescent="0.15">
      <c r="B193" s="3"/>
      <c r="C193" s="3"/>
    </row>
    <row r="194" spans="2:3" ht="12.75" customHeight="1" x14ac:dyDescent="0.15">
      <c r="B194" s="3"/>
      <c r="C194" s="3"/>
    </row>
    <row r="195" spans="2:3" ht="12.75" customHeight="1" x14ac:dyDescent="0.15">
      <c r="B195" s="3"/>
      <c r="C195" s="3"/>
    </row>
    <row r="196" spans="2:3" ht="12.75" customHeight="1" x14ac:dyDescent="0.15">
      <c r="B196" s="3"/>
      <c r="C196" s="3"/>
    </row>
    <row r="197" spans="2:3" ht="12.75" customHeight="1" x14ac:dyDescent="0.15">
      <c r="B197" s="3"/>
      <c r="C197" s="3"/>
    </row>
    <row r="198" spans="2:3" ht="12.75" customHeight="1" x14ac:dyDescent="0.15">
      <c r="B198" s="3"/>
      <c r="C198" s="3"/>
    </row>
    <row r="199" spans="2:3" ht="12.75" customHeight="1" x14ac:dyDescent="0.15">
      <c r="B199" s="3"/>
      <c r="C199" s="3"/>
    </row>
    <row r="200" spans="2:3" ht="12.75" customHeight="1" x14ac:dyDescent="0.15">
      <c r="B200" s="3"/>
      <c r="C200" s="3"/>
    </row>
    <row r="201" spans="2:3" ht="12.75" customHeight="1" x14ac:dyDescent="0.15">
      <c r="B201" s="3"/>
      <c r="C201" s="3"/>
    </row>
    <row r="202" spans="2:3" ht="12.75" customHeight="1" x14ac:dyDescent="0.15">
      <c r="B202" s="3"/>
      <c r="C202" s="3"/>
    </row>
    <row r="203" spans="2:3" ht="12.75" customHeight="1" x14ac:dyDescent="0.15">
      <c r="B203" s="3"/>
      <c r="C203" s="3"/>
    </row>
    <row r="204" spans="2:3" ht="12.75" customHeight="1" x14ac:dyDescent="0.15">
      <c r="B204" s="3"/>
      <c r="C204" s="3"/>
    </row>
    <row r="205" spans="2:3" ht="12.75" customHeight="1" x14ac:dyDescent="0.15">
      <c r="B205" s="3"/>
      <c r="C205" s="3"/>
    </row>
    <row r="206" spans="2:3" ht="12.75" customHeight="1" x14ac:dyDescent="0.15">
      <c r="B206" s="3"/>
      <c r="C206" s="3"/>
    </row>
    <row r="207" spans="2:3" ht="12.75" customHeight="1" x14ac:dyDescent="0.15">
      <c r="B207" s="3"/>
      <c r="C207" s="3"/>
    </row>
    <row r="208" spans="2:3" ht="12.75" customHeight="1" x14ac:dyDescent="0.15">
      <c r="B208" s="3"/>
      <c r="C208" s="3"/>
    </row>
    <row r="209" spans="2:3" ht="12.75" customHeight="1" x14ac:dyDescent="0.15">
      <c r="B209" s="3"/>
      <c r="C209" s="3"/>
    </row>
    <row r="210" spans="2:3" ht="12.75" customHeight="1" x14ac:dyDescent="0.15">
      <c r="B210" s="3"/>
      <c r="C210" s="3"/>
    </row>
    <row r="211" spans="2:3" ht="12.75" customHeight="1" x14ac:dyDescent="0.15">
      <c r="B211" s="3"/>
      <c r="C211" s="3"/>
    </row>
    <row r="212" spans="2:3" ht="12.75" customHeight="1" x14ac:dyDescent="0.15">
      <c r="B212" s="3"/>
      <c r="C212" s="3"/>
    </row>
    <row r="213" spans="2:3" ht="12.75" customHeight="1" x14ac:dyDescent="0.15">
      <c r="B213" s="3"/>
      <c r="C213" s="3"/>
    </row>
    <row r="214" spans="2:3" ht="12.75" customHeight="1" x14ac:dyDescent="0.15">
      <c r="B214" s="3"/>
      <c r="C214" s="3"/>
    </row>
    <row r="215" spans="2:3" ht="12.75" customHeight="1" x14ac:dyDescent="0.15">
      <c r="B215" s="3"/>
      <c r="C215" s="3"/>
    </row>
    <row r="216" spans="2:3" ht="12.75" customHeight="1" x14ac:dyDescent="0.15">
      <c r="B216" s="3"/>
      <c r="C216" s="3"/>
    </row>
    <row r="217" spans="2:3" ht="12.75" customHeight="1" x14ac:dyDescent="0.15">
      <c r="B217" s="3"/>
      <c r="C217" s="3"/>
    </row>
    <row r="218" spans="2:3" ht="12.75" customHeight="1" x14ac:dyDescent="0.15">
      <c r="B218" s="3"/>
      <c r="C218" s="3"/>
    </row>
    <row r="219" spans="2:3" ht="12.75" customHeight="1" x14ac:dyDescent="0.15">
      <c r="B219" s="3"/>
      <c r="C219" s="3"/>
    </row>
    <row r="220" spans="2:3" ht="12.75" customHeight="1" x14ac:dyDescent="0.15">
      <c r="B220" s="3"/>
      <c r="C220" s="3"/>
    </row>
    <row r="221" spans="2:3" ht="12.75" customHeight="1" x14ac:dyDescent="0.15">
      <c r="B221" s="3"/>
      <c r="C221" s="3"/>
    </row>
    <row r="222" spans="2:3" ht="12.75" customHeight="1" x14ac:dyDescent="0.15">
      <c r="B222" s="3"/>
      <c r="C222" s="3"/>
    </row>
    <row r="223" spans="2:3" ht="12.75" customHeight="1" x14ac:dyDescent="0.15">
      <c r="B223" s="3"/>
      <c r="C223" s="3"/>
    </row>
    <row r="224" spans="2:3" ht="12.75" customHeight="1" x14ac:dyDescent="0.15">
      <c r="B224" s="3"/>
      <c r="C224" s="3"/>
    </row>
    <row r="225" spans="2:3" ht="12.75" customHeight="1" x14ac:dyDescent="0.15">
      <c r="B225" s="3"/>
      <c r="C225" s="3"/>
    </row>
    <row r="226" spans="2:3" ht="12.75" customHeight="1" x14ac:dyDescent="0.15">
      <c r="B226" s="3"/>
      <c r="C226" s="3"/>
    </row>
    <row r="227" spans="2:3" ht="12.75" customHeight="1" x14ac:dyDescent="0.15">
      <c r="B227" s="3"/>
      <c r="C227" s="3"/>
    </row>
    <row r="228" spans="2:3" ht="12.75" customHeight="1" x14ac:dyDescent="0.15">
      <c r="B228" s="3"/>
      <c r="C228" s="3"/>
    </row>
    <row r="229" spans="2:3" ht="12.75" customHeight="1" x14ac:dyDescent="0.15">
      <c r="B229" s="3"/>
      <c r="C229" s="3"/>
    </row>
    <row r="230" spans="2:3" ht="12.75" customHeight="1" x14ac:dyDescent="0.15">
      <c r="B230" s="3"/>
      <c r="C230" s="3"/>
    </row>
    <row r="231" spans="2:3" ht="12.75" customHeight="1" x14ac:dyDescent="0.15">
      <c r="B231" s="3"/>
      <c r="C231" s="3"/>
    </row>
    <row r="232" spans="2:3" ht="12.75" customHeight="1" x14ac:dyDescent="0.15">
      <c r="B232" s="3"/>
      <c r="C232" s="3"/>
    </row>
    <row r="233" spans="2:3" ht="12.75" customHeight="1" x14ac:dyDescent="0.15">
      <c r="B233" s="3"/>
      <c r="C233" s="3"/>
    </row>
    <row r="234" spans="2:3" ht="12.75" customHeight="1" x14ac:dyDescent="0.15">
      <c r="B234" s="3"/>
      <c r="C234" s="3"/>
    </row>
    <row r="235" spans="2:3" ht="12.75" customHeight="1" x14ac:dyDescent="0.15">
      <c r="B235" s="3"/>
      <c r="C235" s="3"/>
    </row>
    <row r="236" spans="2:3" ht="12.75" customHeight="1" x14ac:dyDescent="0.15">
      <c r="B236" s="3"/>
      <c r="C236" s="3"/>
    </row>
    <row r="237" spans="2:3" ht="12.75" customHeight="1" x14ac:dyDescent="0.15">
      <c r="B237" s="3"/>
      <c r="C237" s="3"/>
    </row>
    <row r="238" spans="2:3" ht="12.75" customHeight="1" x14ac:dyDescent="0.15">
      <c r="B238" s="3"/>
      <c r="C238" s="3"/>
    </row>
    <row r="239" spans="2:3" ht="12.75" customHeight="1" x14ac:dyDescent="0.15">
      <c r="B239" s="3"/>
      <c r="C239" s="3"/>
    </row>
    <row r="240" spans="2:3" ht="12.75" customHeight="1" x14ac:dyDescent="0.15">
      <c r="B240" s="3"/>
      <c r="C240" s="3"/>
    </row>
    <row r="241" spans="2:3" ht="12.75" customHeight="1" x14ac:dyDescent="0.15">
      <c r="B241" s="3"/>
      <c r="C241" s="3"/>
    </row>
    <row r="242" spans="2:3" ht="12.75" customHeight="1" x14ac:dyDescent="0.15">
      <c r="B242" s="3"/>
      <c r="C242" s="3"/>
    </row>
    <row r="243" spans="2:3" ht="12.75" customHeight="1" x14ac:dyDescent="0.15">
      <c r="B243" s="3"/>
      <c r="C243" s="3"/>
    </row>
    <row r="244" spans="2:3" ht="12.75" customHeight="1" x14ac:dyDescent="0.15">
      <c r="B244" s="3"/>
      <c r="C244" s="3"/>
    </row>
    <row r="245" spans="2:3" ht="12.75" customHeight="1" x14ac:dyDescent="0.15">
      <c r="B245" s="3"/>
      <c r="C245" s="3"/>
    </row>
    <row r="246" spans="2:3" ht="12.75" customHeight="1" x14ac:dyDescent="0.15">
      <c r="B246" s="3"/>
      <c r="C246" s="3"/>
    </row>
    <row r="247" spans="2:3" ht="12.75" customHeight="1" x14ac:dyDescent="0.15">
      <c r="B247" s="3"/>
      <c r="C247" s="3"/>
    </row>
    <row r="248" spans="2:3" ht="12.75" customHeight="1" x14ac:dyDescent="0.15">
      <c r="B248" s="3"/>
      <c r="C248" s="3"/>
    </row>
    <row r="249" spans="2:3" ht="12.75" customHeight="1" x14ac:dyDescent="0.15">
      <c r="B249" s="3"/>
      <c r="C249" s="3"/>
    </row>
    <row r="250" spans="2:3" ht="12.75" customHeight="1" x14ac:dyDescent="0.15">
      <c r="B250" s="3"/>
      <c r="C250" s="3"/>
    </row>
    <row r="251" spans="2:3" ht="12.75" customHeight="1" x14ac:dyDescent="0.15">
      <c r="B251" s="3"/>
      <c r="C251" s="3"/>
    </row>
    <row r="252" spans="2:3" ht="12.75" customHeight="1" x14ac:dyDescent="0.15">
      <c r="B252" s="3"/>
      <c r="C252" s="3"/>
    </row>
    <row r="253" spans="2:3" ht="12.75" customHeight="1" x14ac:dyDescent="0.15">
      <c r="B253" s="3"/>
      <c r="C253" s="3"/>
    </row>
    <row r="254" spans="2:3" ht="12.75" customHeight="1" x14ac:dyDescent="0.15">
      <c r="B254" s="3"/>
      <c r="C254" s="3"/>
    </row>
    <row r="255" spans="2:3" ht="12.75" customHeight="1" x14ac:dyDescent="0.15">
      <c r="B255" s="3"/>
      <c r="C255" s="3"/>
    </row>
    <row r="256" spans="2:3" ht="12.75" customHeight="1" x14ac:dyDescent="0.15">
      <c r="B256" s="3"/>
      <c r="C256" s="3"/>
    </row>
    <row r="257" spans="2:3" ht="12.75" customHeight="1" x14ac:dyDescent="0.15">
      <c r="B257" s="3"/>
      <c r="C257" s="3"/>
    </row>
    <row r="258" spans="2:3" ht="12.75" customHeight="1" x14ac:dyDescent="0.15">
      <c r="B258" s="3"/>
      <c r="C258" s="3"/>
    </row>
    <row r="259" spans="2:3" ht="12.75" customHeight="1" x14ac:dyDescent="0.15">
      <c r="B259" s="3"/>
      <c r="C259" s="3"/>
    </row>
    <row r="260" spans="2:3" ht="12.75" customHeight="1" x14ac:dyDescent="0.15">
      <c r="B260" s="3"/>
      <c r="C260" s="3"/>
    </row>
    <row r="261" spans="2:3" ht="12.75" customHeight="1" x14ac:dyDescent="0.15">
      <c r="B261" s="3"/>
      <c r="C261" s="3"/>
    </row>
    <row r="262" spans="2:3" ht="12.75" customHeight="1" x14ac:dyDescent="0.15">
      <c r="B262" s="3"/>
      <c r="C262" s="3"/>
    </row>
    <row r="263" spans="2:3" ht="12.75" customHeight="1" x14ac:dyDescent="0.15">
      <c r="B263" s="3"/>
      <c r="C263" s="3"/>
    </row>
    <row r="264" spans="2:3" ht="12.75" customHeight="1" x14ac:dyDescent="0.15">
      <c r="B264" s="3"/>
      <c r="C264" s="3"/>
    </row>
    <row r="265" spans="2:3" ht="12.75" customHeight="1" x14ac:dyDescent="0.15">
      <c r="B265" s="3"/>
      <c r="C265" s="3"/>
    </row>
    <row r="266" spans="2:3" ht="12.75" customHeight="1" x14ac:dyDescent="0.15">
      <c r="B266" s="3"/>
      <c r="C266" s="3"/>
    </row>
    <row r="267" spans="2:3" ht="12.75" customHeight="1" x14ac:dyDescent="0.15">
      <c r="B267" s="3"/>
      <c r="C267" s="3"/>
    </row>
    <row r="268" spans="2:3" ht="12.75" customHeight="1" x14ac:dyDescent="0.15">
      <c r="B268" s="3"/>
      <c r="C268" s="3"/>
    </row>
    <row r="269" spans="2:3" ht="12.75" customHeight="1" x14ac:dyDescent="0.15">
      <c r="B269" s="3"/>
      <c r="C269" s="3"/>
    </row>
    <row r="270" spans="2:3" ht="12.75" customHeight="1" x14ac:dyDescent="0.15">
      <c r="B270" s="3"/>
      <c r="C270" s="3"/>
    </row>
    <row r="271" spans="2:3" ht="12.75" customHeight="1" x14ac:dyDescent="0.15">
      <c r="B271" s="3"/>
      <c r="C271" s="3"/>
    </row>
    <row r="272" spans="2:3" ht="12.75" customHeight="1" x14ac:dyDescent="0.15">
      <c r="B272" s="3"/>
      <c r="C272" s="3"/>
    </row>
    <row r="273" spans="2:3" ht="12.75" customHeight="1" x14ac:dyDescent="0.15">
      <c r="B273" s="3"/>
      <c r="C273" s="3"/>
    </row>
    <row r="274" spans="2:3" ht="12.75" customHeight="1" x14ac:dyDescent="0.15">
      <c r="B274" s="3"/>
      <c r="C274" s="3"/>
    </row>
    <row r="275" spans="2:3" ht="12.75" customHeight="1" x14ac:dyDescent="0.15">
      <c r="B275" s="3"/>
      <c r="C275" s="3"/>
    </row>
    <row r="276" spans="2:3" ht="12.75" customHeight="1" x14ac:dyDescent="0.15">
      <c r="B276" s="3"/>
      <c r="C276" s="3"/>
    </row>
    <row r="277" spans="2:3" ht="12.75" customHeight="1" x14ac:dyDescent="0.15">
      <c r="B277" s="3"/>
      <c r="C277" s="3"/>
    </row>
    <row r="278" spans="2:3" ht="12.75" customHeight="1" x14ac:dyDescent="0.15">
      <c r="B278" s="3"/>
      <c r="C278" s="3"/>
    </row>
    <row r="279" spans="2:3" ht="12.75" customHeight="1" x14ac:dyDescent="0.15">
      <c r="B279" s="3"/>
      <c r="C279" s="3"/>
    </row>
    <row r="280" spans="2:3" ht="12.75" customHeight="1" x14ac:dyDescent="0.15">
      <c r="B280" s="3"/>
      <c r="C280" s="3"/>
    </row>
    <row r="281" spans="2:3" ht="12.75" customHeight="1" x14ac:dyDescent="0.15">
      <c r="B281" s="3"/>
      <c r="C281" s="3"/>
    </row>
    <row r="282" spans="2:3" ht="12.75" customHeight="1" x14ac:dyDescent="0.15">
      <c r="B282" s="3"/>
      <c r="C282" s="3"/>
    </row>
    <row r="283" spans="2:3" ht="12.75" customHeight="1" x14ac:dyDescent="0.15">
      <c r="B283" s="3"/>
      <c r="C283" s="3"/>
    </row>
    <row r="284" spans="2:3" ht="12.75" customHeight="1" x14ac:dyDescent="0.15">
      <c r="B284" s="3"/>
      <c r="C284" s="3"/>
    </row>
    <row r="285" spans="2:3" ht="12.75" customHeight="1" x14ac:dyDescent="0.15">
      <c r="B285" s="3"/>
      <c r="C285" s="3"/>
    </row>
    <row r="286" spans="2:3" ht="12.75" customHeight="1" x14ac:dyDescent="0.15">
      <c r="B286" s="3"/>
      <c r="C286" s="3"/>
    </row>
    <row r="287" spans="2:3" ht="12.75" customHeight="1" x14ac:dyDescent="0.15">
      <c r="B287" s="3"/>
      <c r="C287" s="3"/>
    </row>
    <row r="288" spans="2:3" ht="12.75" customHeight="1" x14ac:dyDescent="0.15">
      <c r="B288" s="3"/>
      <c r="C288" s="3"/>
    </row>
    <row r="289" spans="2:3" ht="12.75" customHeight="1" x14ac:dyDescent="0.15">
      <c r="B289" s="3"/>
      <c r="C289" s="3"/>
    </row>
    <row r="290" spans="2:3" ht="12.75" customHeight="1" x14ac:dyDescent="0.15">
      <c r="B290" s="3"/>
      <c r="C290" s="3"/>
    </row>
    <row r="291" spans="2:3" ht="12.75" customHeight="1" x14ac:dyDescent="0.15">
      <c r="B291" s="3"/>
      <c r="C291" s="3"/>
    </row>
    <row r="292" spans="2:3" ht="12.75" customHeight="1" x14ac:dyDescent="0.15">
      <c r="B292" s="3"/>
      <c r="C292" s="3"/>
    </row>
    <row r="293" spans="2:3" ht="12.75" customHeight="1" x14ac:dyDescent="0.15">
      <c r="B293" s="3"/>
      <c r="C293" s="3"/>
    </row>
    <row r="294" spans="2:3" ht="12.75" customHeight="1" x14ac:dyDescent="0.15">
      <c r="B294" s="3"/>
      <c r="C294" s="3"/>
    </row>
    <row r="295" spans="2:3" ht="12.75" customHeight="1" x14ac:dyDescent="0.15">
      <c r="B295" s="3"/>
      <c r="C295" s="3"/>
    </row>
    <row r="296" spans="2:3" ht="12.75" customHeight="1" x14ac:dyDescent="0.15">
      <c r="B296" s="3"/>
      <c r="C296" s="3"/>
    </row>
    <row r="297" spans="2:3" ht="12.75" customHeight="1" x14ac:dyDescent="0.15">
      <c r="B297" s="3"/>
      <c r="C297" s="3"/>
    </row>
    <row r="298" spans="2:3" ht="12.75" customHeight="1" x14ac:dyDescent="0.15">
      <c r="B298" s="3"/>
      <c r="C298" s="3"/>
    </row>
    <row r="299" spans="2:3" ht="12.75" customHeight="1" x14ac:dyDescent="0.15">
      <c r="B299" s="3"/>
      <c r="C299" s="3"/>
    </row>
    <row r="300" spans="2:3" ht="12.75" customHeight="1" x14ac:dyDescent="0.15">
      <c r="B300" s="3"/>
      <c r="C300" s="3"/>
    </row>
    <row r="301" spans="2:3" ht="12.75" customHeight="1" x14ac:dyDescent="0.15">
      <c r="B301" s="3"/>
      <c r="C301" s="3"/>
    </row>
    <row r="302" spans="2:3" ht="12.75" customHeight="1" x14ac:dyDescent="0.15">
      <c r="B302" s="3"/>
      <c r="C302" s="3"/>
    </row>
    <row r="303" spans="2:3" ht="12.75" customHeight="1" x14ac:dyDescent="0.15">
      <c r="B303" s="3"/>
      <c r="C303" s="3"/>
    </row>
    <row r="304" spans="2:3" ht="12.75" customHeight="1" x14ac:dyDescent="0.15">
      <c r="B304" s="3"/>
      <c r="C304" s="3"/>
    </row>
    <row r="305" spans="2:3" ht="12.75" customHeight="1" x14ac:dyDescent="0.15">
      <c r="B305" s="3"/>
      <c r="C305" s="3"/>
    </row>
    <row r="306" spans="2:3" ht="12.75" customHeight="1" x14ac:dyDescent="0.15">
      <c r="B306" s="3"/>
      <c r="C306" s="3"/>
    </row>
    <row r="307" spans="2:3" ht="12.75" customHeight="1" x14ac:dyDescent="0.15">
      <c r="B307" s="3"/>
      <c r="C307" s="3"/>
    </row>
    <row r="308" spans="2:3" ht="12.75" customHeight="1" x14ac:dyDescent="0.15">
      <c r="B308" s="3"/>
      <c r="C308" s="3"/>
    </row>
    <row r="309" spans="2:3" ht="12.75" customHeight="1" x14ac:dyDescent="0.15">
      <c r="B309" s="3"/>
      <c r="C309" s="3"/>
    </row>
    <row r="310" spans="2:3" ht="12.75" customHeight="1" x14ac:dyDescent="0.15">
      <c r="B310" s="3"/>
      <c r="C310" s="3"/>
    </row>
    <row r="311" spans="2:3" ht="12.75" customHeight="1" x14ac:dyDescent="0.15">
      <c r="B311" s="3"/>
      <c r="C311" s="3"/>
    </row>
    <row r="312" spans="2:3" ht="12.75" customHeight="1" x14ac:dyDescent="0.15">
      <c r="B312" s="3"/>
      <c r="C312" s="3"/>
    </row>
    <row r="313" spans="2:3" ht="12.75" customHeight="1" x14ac:dyDescent="0.15">
      <c r="B313" s="3"/>
      <c r="C313" s="3"/>
    </row>
    <row r="314" spans="2:3" ht="12.75" customHeight="1" x14ac:dyDescent="0.15">
      <c r="B314" s="3"/>
      <c r="C314" s="3"/>
    </row>
    <row r="315" spans="2:3" ht="12.75" customHeight="1" x14ac:dyDescent="0.15">
      <c r="B315" s="3"/>
      <c r="C315" s="3"/>
    </row>
    <row r="316" spans="2:3" ht="12.75" customHeight="1" x14ac:dyDescent="0.15">
      <c r="B316" s="3"/>
      <c r="C316" s="3"/>
    </row>
    <row r="317" spans="2:3" ht="12.75" customHeight="1" x14ac:dyDescent="0.15">
      <c r="B317" s="3"/>
      <c r="C317" s="3"/>
    </row>
    <row r="318" spans="2:3" ht="12.75" customHeight="1" x14ac:dyDescent="0.15">
      <c r="B318" s="3"/>
      <c r="C318" s="3"/>
    </row>
    <row r="319" spans="2:3" ht="12.75" customHeight="1" x14ac:dyDescent="0.15">
      <c r="B319" s="3"/>
      <c r="C319" s="3"/>
    </row>
    <row r="320" spans="2:3" ht="12.75" customHeight="1" x14ac:dyDescent="0.15">
      <c r="B320" s="3"/>
      <c r="C320" s="3"/>
    </row>
    <row r="321" spans="2:3" ht="12.75" customHeight="1" x14ac:dyDescent="0.15">
      <c r="B321" s="3"/>
      <c r="C321" s="3"/>
    </row>
    <row r="322" spans="2:3" ht="12.75" customHeight="1" x14ac:dyDescent="0.15">
      <c r="B322" s="3"/>
      <c r="C322" s="3"/>
    </row>
    <row r="323" spans="2:3" ht="12.75" customHeight="1" x14ac:dyDescent="0.15">
      <c r="B323" s="3"/>
      <c r="C323" s="3"/>
    </row>
    <row r="324" spans="2:3" ht="12.75" customHeight="1" x14ac:dyDescent="0.15">
      <c r="B324" s="3"/>
      <c r="C324" s="3"/>
    </row>
    <row r="325" spans="2:3" ht="12.75" customHeight="1" x14ac:dyDescent="0.15">
      <c r="B325" s="3"/>
      <c r="C325" s="3"/>
    </row>
    <row r="326" spans="2:3" ht="12.75" customHeight="1" x14ac:dyDescent="0.15">
      <c r="B326" s="3"/>
      <c r="C326" s="3"/>
    </row>
    <row r="327" spans="2:3" ht="12.75" customHeight="1" x14ac:dyDescent="0.15">
      <c r="B327" s="3"/>
      <c r="C327" s="3"/>
    </row>
    <row r="328" spans="2:3" ht="12.75" customHeight="1" x14ac:dyDescent="0.15">
      <c r="B328" s="3"/>
      <c r="C328" s="3"/>
    </row>
    <row r="329" spans="2:3" ht="12.75" customHeight="1" x14ac:dyDescent="0.15">
      <c r="B329" s="3"/>
      <c r="C329" s="3"/>
    </row>
    <row r="330" spans="2:3" ht="12.75" customHeight="1" x14ac:dyDescent="0.15">
      <c r="B330" s="3"/>
      <c r="C330" s="3"/>
    </row>
    <row r="331" spans="2:3" ht="12.75" customHeight="1" x14ac:dyDescent="0.15">
      <c r="B331" s="3"/>
      <c r="C331" s="3"/>
    </row>
    <row r="332" spans="2:3" ht="12.75" customHeight="1" x14ac:dyDescent="0.15">
      <c r="B332" s="3"/>
      <c r="C332" s="3"/>
    </row>
    <row r="333" spans="2:3" ht="12.75" customHeight="1" x14ac:dyDescent="0.15">
      <c r="B333" s="3"/>
      <c r="C333" s="3"/>
    </row>
    <row r="334" spans="2:3" ht="12.75" customHeight="1" x14ac:dyDescent="0.15">
      <c r="B334" s="3"/>
      <c r="C334" s="3"/>
    </row>
    <row r="335" spans="2:3" ht="12.75" customHeight="1" x14ac:dyDescent="0.15">
      <c r="B335" s="3"/>
      <c r="C335" s="3"/>
    </row>
    <row r="336" spans="2:3" ht="12.75" customHeight="1" x14ac:dyDescent="0.15">
      <c r="B336" s="3"/>
      <c r="C336" s="3"/>
    </row>
    <row r="337" spans="2:3" ht="12.75" customHeight="1" x14ac:dyDescent="0.15">
      <c r="B337" s="3"/>
      <c r="C337" s="3"/>
    </row>
    <row r="338" spans="2:3" ht="12.75" customHeight="1" x14ac:dyDescent="0.15">
      <c r="B338" s="3"/>
      <c r="C338" s="3"/>
    </row>
    <row r="339" spans="2:3" ht="12.75" customHeight="1" x14ac:dyDescent="0.15">
      <c r="B339" s="3"/>
      <c r="C339" s="3"/>
    </row>
    <row r="340" spans="2:3" ht="12.75" customHeight="1" x14ac:dyDescent="0.15">
      <c r="B340" s="3"/>
      <c r="C340" s="3"/>
    </row>
    <row r="341" spans="2:3" ht="12.75" customHeight="1" x14ac:dyDescent="0.15">
      <c r="B341" s="3"/>
      <c r="C341" s="3"/>
    </row>
    <row r="342" spans="2:3" ht="12.75" customHeight="1" x14ac:dyDescent="0.15">
      <c r="B342" s="3"/>
      <c r="C342" s="3"/>
    </row>
    <row r="343" spans="2:3" ht="12.75" customHeight="1" x14ac:dyDescent="0.15">
      <c r="B343" s="3"/>
      <c r="C343" s="3"/>
    </row>
    <row r="344" spans="2:3" ht="12.75" customHeight="1" x14ac:dyDescent="0.15">
      <c r="B344" s="3"/>
      <c r="C344" s="3"/>
    </row>
    <row r="345" spans="2:3" ht="12.75" customHeight="1" x14ac:dyDescent="0.15">
      <c r="B345" s="3"/>
      <c r="C345" s="3"/>
    </row>
    <row r="346" spans="2:3" ht="12.75" customHeight="1" x14ac:dyDescent="0.15">
      <c r="B346" s="3"/>
      <c r="C346" s="3"/>
    </row>
    <row r="347" spans="2:3" ht="12.75" customHeight="1" x14ac:dyDescent="0.15">
      <c r="B347" s="3"/>
      <c r="C347" s="3"/>
    </row>
    <row r="348" spans="2:3" ht="12.75" customHeight="1" x14ac:dyDescent="0.15">
      <c r="B348" s="3"/>
      <c r="C348" s="3"/>
    </row>
    <row r="349" spans="2:3" ht="12.75" customHeight="1" x14ac:dyDescent="0.15">
      <c r="B349" s="3"/>
      <c r="C349" s="3"/>
    </row>
    <row r="350" spans="2:3" ht="12.75" customHeight="1" x14ac:dyDescent="0.15">
      <c r="B350" s="3"/>
      <c r="C350" s="3"/>
    </row>
    <row r="351" spans="2:3" ht="12.75" customHeight="1" x14ac:dyDescent="0.15">
      <c r="B351" s="3"/>
      <c r="C351" s="3"/>
    </row>
    <row r="352" spans="2:3" ht="12.75" customHeight="1" x14ac:dyDescent="0.15">
      <c r="B352" s="3"/>
      <c r="C352" s="3"/>
    </row>
    <row r="353" spans="2:3" ht="12.75" customHeight="1" x14ac:dyDescent="0.15">
      <c r="B353" s="3"/>
      <c r="C353" s="3"/>
    </row>
    <row r="354" spans="2:3" ht="12.75" customHeight="1" x14ac:dyDescent="0.15">
      <c r="B354" s="3"/>
      <c r="C354" s="3"/>
    </row>
    <row r="355" spans="2:3" ht="12.75" customHeight="1" x14ac:dyDescent="0.15">
      <c r="B355" s="3"/>
      <c r="C355" s="3"/>
    </row>
    <row r="356" spans="2:3" ht="12.75" customHeight="1" x14ac:dyDescent="0.15">
      <c r="B356" s="3"/>
      <c r="C356" s="3"/>
    </row>
    <row r="357" spans="2:3" ht="12.75" customHeight="1" x14ac:dyDescent="0.15">
      <c r="B357" s="3"/>
      <c r="C357" s="3"/>
    </row>
    <row r="358" spans="2:3" ht="12.75" customHeight="1" x14ac:dyDescent="0.15">
      <c r="B358" s="3"/>
      <c r="C358" s="3"/>
    </row>
    <row r="359" spans="2:3" ht="12.75" customHeight="1" x14ac:dyDescent="0.15">
      <c r="B359" s="3"/>
      <c r="C359" s="3"/>
    </row>
    <row r="360" spans="2:3" ht="12.75" customHeight="1" x14ac:dyDescent="0.15">
      <c r="B360" s="3"/>
      <c r="C360" s="3"/>
    </row>
    <row r="361" spans="2:3" ht="12.75" customHeight="1" x14ac:dyDescent="0.15">
      <c r="B361" s="3"/>
      <c r="C361" s="3"/>
    </row>
    <row r="362" spans="2:3" ht="12.75" customHeight="1" x14ac:dyDescent="0.15">
      <c r="B362" s="3"/>
      <c r="C362" s="3"/>
    </row>
    <row r="363" spans="2:3" ht="12.75" customHeight="1" x14ac:dyDescent="0.15">
      <c r="B363" s="3"/>
      <c r="C363" s="3"/>
    </row>
    <row r="364" spans="2:3" ht="12.75" customHeight="1" x14ac:dyDescent="0.15">
      <c r="B364" s="3"/>
      <c r="C364" s="3"/>
    </row>
    <row r="365" spans="2:3" ht="12.75" customHeight="1" x14ac:dyDescent="0.15">
      <c r="B365" s="3"/>
      <c r="C365" s="3"/>
    </row>
    <row r="366" spans="2:3" ht="12.75" customHeight="1" x14ac:dyDescent="0.15">
      <c r="B366" s="3"/>
      <c r="C366" s="3"/>
    </row>
    <row r="367" spans="2:3" ht="12.75" customHeight="1" x14ac:dyDescent="0.15">
      <c r="B367" s="3"/>
      <c r="C367" s="3"/>
    </row>
    <row r="368" spans="2:3" ht="12.75" customHeight="1" x14ac:dyDescent="0.15">
      <c r="B368" s="3"/>
      <c r="C368" s="3"/>
    </row>
    <row r="369" spans="2:3" ht="12.75" customHeight="1" x14ac:dyDescent="0.15">
      <c r="B369" s="3"/>
      <c r="C369" s="3"/>
    </row>
    <row r="370" spans="2:3" ht="12.75" customHeight="1" x14ac:dyDescent="0.15">
      <c r="B370" s="3"/>
      <c r="C370" s="3"/>
    </row>
    <row r="371" spans="2:3" ht="12.75" customHeight="1" x14ac:dyDescent="0.15">
      <c r="B371" s="3"/>
      <c r="C371" s="3"/>
    </row>
    <row r="372" spans="2:3" ht="12.75" customHeight="1" x14ac:dyDescent="0.15">
      <c r="B372" s="3"/>
      <c r="C372" s="3"/>
    </row>
    <row r="373" spans="2:3" ht="12.75" customHeight="1" x14ac:dyDescent="0.15">
      <c r="B373" s="3"/>
      <c r="C373" s="3"/>
    </row>
    <row r="374" spans="2:3" ht="12.75" customHeight="1" x14ac:dyDescent="0.15">
      <c r="B374" s="3"/>
      <c r="C374" s="3"/>
    </row>
    <row r="375" spans="2:3" ht="12.75" customHeight="1" x14ac:dyDescent="0.15">
      <c r="B375" s="3"/>
      <c r="C375" s="3"/>
    </row>
    <row r="376" spans="2:3" ht="12.75" customHeight="1" x14ac:dyDescent="0.15">
      <c r="B376" s="3"/>
      <c r="C376" s="3"/>
    </row>
    <row r="377" spans="2:3" ht="12.75" customHeight="1" x14ac:dyDescent="0.15">
      <c r="B377" s="3"/>
      <c r="C377" s="3"/>
    </row>
    <row r="378" spans="2:3" ht="12.75" customHeight="1" x14ac:dyDescent="0.15">
      <c r="B378" s="3"/>
      <c r="C378" s="3"/>
    </row>
    <row r="379" spans="2:3" ht="12.75" customHeight="1" x14ac:dyDescent="0.15">
      <c r="B379" s="3"/>
      <c r="C379" s="3"/>
    </row>
    <row r="380" spans="2:3" ht="12.75" customHeight="1" x14ac:dyDescent="0.15">
      <c r="B380" s="3"/>
      <c r="C380" s="3"/>
    </row>
    <row r="381" spans="2:3" ht="12.75" customHeight="1" x14ac:dyDescent="0.15">
      <c r="B381" s="3"/>
      <c r="C381" s="3"/>
    </row>
    <row r="382" spans="2:3" ht="12.75" customHeight="1" x14ac:dyDescent="0.15">
      <c r="B382" s="3"/>
      <c r="C382" s="3"/>
    </row>
    <row r="383" spans="2:3" ht="12.75" customHeight="1" x14ac:dyDescent="0.15">
      <c r="B383" s="3"/>
      <c r="C383" s="3"/>
    </row>
    <row r="384" spans="2:3" ht="12.75" customHeight="1" x14ac:dyDescent="0.15">
      <c r="B384" s="3"/>
      <c r="C384" s="3"/>
    </row>
    <row r="385" spans="2:3" ht="12.75" customHeight="1" x14ac:dyDescent="0.15">
      <c r="B385" s="3"/>
      <c r="C385" s="3"/>
    </row>
    <row r="386" spans="2:3" ht="12.75" customHeight="1" x14ac:dyDescent="0.15">
      <c r="B386" s="3"/>
      <c r="C386" s="3"/>
    </row>
    <row r="387" spans="2:3" ht="12.75" customHeight="1" x14ac:dyDescent="0.15">
      <c r="B387" s="3"/>
      <c r="C387" s="3"/>
    </row>
    <row r="388" spans="2:3" ht="12.75" customHeight="1" x14ac:dyDescent="0.15">
      <c r="B388" s="3"/>
      <c r="C388" s="3"/>
    </row>
    <row r="389" spans="2:3" ht="12.75" customHeight="1" x14ac:dyDescent="0.15">
      <c r="B389" s="3"/>
      <c r="C389" s="3"/>
    </row>
    <row r="390" spans="2:3" ht="12.75" customHeight="1" x14ac:dyDescent="0.15">
      <c r="B390" s="3"/>
      <c r="C390" s="3"/>
    </row>
    <row r="391" spans="2:3" ht="12.75" customHeight="1" x14ac:dyDescent="0.15">
      <c r="B391" s="3"/>
      <c r="C391" s="3"/>
    </row>
    <row r="392" spans="2:3" ht="12.75" customHeight="1" x14ac:dyDescent="0.15">
      <c r="B392" s="3"/>
      <c r="C392" s="3"/>
    </row>
    <row r="393" spans="2:3" ht="12.75" customHeight="1" x14ac:dyDescent="0.15">
      <c r="B393" s="3"/>
      <c r="C393" s="3"/>
    </row>
    <row r="394" spans="2:3" ht="12.75" customHeight="1" x14ac:dyDescent="0.15">
      <c r="B394" s="3"/>
      <c r="C394" s="3"/>
    </row>
    <row r="395" spans="2:3" ht="12.75" customHeight="1" x14ac:dyDescent="0.15">
      <c r="B395" s="3"/>
      <c r="C395" s="3"/>
    </row>
    <row r="396" spans="2:3" ht="12.75" customHeight="1" x14ac:dyDescent="0.15">
      <c r="B396" s="3"/>
      <c r="C396" s="3"/>
    </row>
    <row r="397" spans="2:3" ht="12.75" customHeight="1" x14ac:dyDescent="0.15">
      <c r="B397" s="3"/>
      <c r="C397" s="3"/>
    </row>
    <row r="398" spans="2:3" ht="12.75" customHeight="1" x14ac:dyDescent="0.15">
      <c r="B398" s="3"/>
      <c r="C398" s="3"/>
    </row>
    <row r="399" spans="2:3" ht="12.75" customHeight="1" x14ac:dyDescent="0.15">
      <c r="B399" s="3"/>
      <c r="C399" s="3"/>
    </row>
    <row r="400" spans="2:3" ht="12.75" customHeight="1" x14ac:dyDescent="0.15">
      <c r="B400" s="3"/>
      <c r="C400" s="3"/>
    </row>
    <row r="401" spans="2:3" ht="12.75" customHeight="1" x14ac:dyDescent="0.15">
      <c r="B401" s="3"/>
      <c r="C401" s="3"/>
    </row>
    <row r="402" spans="2:3" ht="12.75" customHeight="1" x14ac:dyDescent="0.15">
      <c r="B402" s="3"/>
      <c r="C402" s="3"/>
    </row>
    <row r="403" spans="2:3" ht="12.75" customHeight="1" x14ac:dyDescent="0.15">
      <c r="B403" s="3"/>
      <c r="C403" s="3"/>
    </row>
    <row r="404" spans="2:3" ht="12.75" customHeight="1" x14ac:dyDescent="0.15">
      <c r="B404" s="3"/>
      <c r="C404" s="3"/>
    </row>
    <row r="405" spans="2:3" ht="12.75" customHeight="1" x14ac:dyDescent="0.15">
      <c r="B405" s="3"/>
      <c r="C405" s="3"/>
    </row>
    <row r="406" spans="2:3" ht="12.75" customHeight="1" x14ac:dyDescent="0.15">
      <c r="B406" s="3"/>
      <c r="C406" s="3"/>
    </row>
    <row r="407" spans="2:3" ht="12.75" customHeight="1" x14ac:dyDescent="0.15">
      <c r="B407" s="3"/>
      <c r="C407" s="3"/>
    </row>
    <row r="408" spans="2:3" ht="12.75" customHeight="1" x14ac:dyDescent="0.15">
      <c r="B408" s="3"/>
      <c r="C408" s="3"/>
    </row>
    <row r="409" spans="2:3" ht="12.75" customHeight="1" x14ac:dyDescent="0.15">
      <c r="B409" s="3"/>
      <c r="C409" s="3"/>
    </row>
    <row r="410" spans="2:3" ht="12.75" customHeight="1" x14ac:dyDescent="0.15">
      <c r="B410" s="3"/>
      <c r="C410" s="3"/>
    </row>
    <row r="411" spans="2:3" ht="12.75" customHeight="1" x14ac:dyDescent="0.15">
      <c r="B411" s="3"/>
      <c r="C411" s="3"/>
    </row>
    <row r="412" spans="2:3" ht="12.75" customHeight="1" x14ac:dyDescent="0.15">
      <c r="B412" s="3"/>
      <c r="C412" s="3"/>
    </row>
    <row r="413" spans="2:3" ht="12.75" customHeight="1" x14ac:dyDescent="0.15">
      <c r="B413" s="3"/>
      <c r="C413" s="3"/>
    </row>
    <row r="414" spans="2:3" ht="12.75" customHeight="1" x14ac:dyDescent="0.15">
      <c r="B414" s="3"/>
      <c r="C414" s="3"/>
    </row>
    <row r="415" spans="2:3" ht="12.75" customHeight="1" x14ac:dyDescent="0.15">
      <c r="B415" s="3"/>
      <c r="C415" s="3"/>
    </row>
    <row r="416" spans="2:3" ht="12.75" customHeight="1" x14ac:dyDescent="0.15">
      <c r="B416" s="3"/>
      <c r="C416" s="3"/>
    </row>
    <row r="417" spans="2:3" ht="12.75" customHeight="1" x14ac:dyDescent="0.15">
      <c r="B417" s="3"/>
      <c r="C417" s="3"/>
    </row>
    <row r="418" spans="2:3" ht="12.75" customHeight="1" x14ac:dyDescent="0.15">
      <c r="B418" s="3"/>
      <c r="C418" s="3"/>
    </row>
    <row r="419" spans="2:3" ht="12.75" customHeight="1" x14ac:dyDescent="0.15">
      <c r="B419" s="3"/>
      <c r="C419" s="3"/>
    </row>
    <row r="420" spans="2:3" ht="12.75" customHeight="1" x14ac:dyDescent="0.15">
      <c r="B420" s="3"/>
      <c r="C420" s="3"/>
    </row>
    <row r="421" spans="2:3" ht="12.75" customHeight="1" x14ac:dyDescent="0.15">
      <c r="B421" s="3"/>
      <c r="C421" s="3"/>
    </row>
    <row r="422" spans="2:3" ht="12.75" customHeight="1" x14ac:dyDescent="0.15">
      <c r="B422" s="3"/>
      <c r="C422" s="3"/>
    </row>
    <row r="423" spans="2:3" ht="12.75" customHeight="1" x14ac:dyDescent="0.15">
      <c r="B423" s="3"/>
      <c r="C423" s="3"/>
    </row>
    <row r="424" spans="2:3" ht="12.75" customHeight="1" x14ac:dyDescent="0.15">
      <c r="B424" s="3"/>
      <c r="C424" s="3"/>
    </row>
    <row r="425" spans="2:3" ht="12.75" customHeight="1" x14ac:dyDescent="0.15">
      <c r="B425" s="3"/>
      <c r="C425" s="3"/>
    </row>
    <row r="426" spans="2:3" ht="12.75" customHeight="1" x14ac:dyDescent="0.15">
      <c r="B426" s="3"/>
      <c r="C426" s="3"/>
    </row>
    <row r="427" spans="2:3" ht="12.75" customHeight="1" x14ac:dyDescent="0.15">
      <c r="B427" s="3"/>
      <c r="C427" s="3"/>
    </row>
    <row r="428" spans="2:3" ht="12.75" customHeight="1" x14ac:dyDescent="0.15">
      <c r="B428" s="3"/>
      <c r="C428" s="3"/>
    </row>
    <row r="429" spans="2:3" ht="12.75" customHeight="1" x14ac:dyDescent="0.15">
      <c r="B429" s="3"/>
      <c r="C429" s="3"/>
    </row>
    <row r="430" spans="2:3" ht="12.75" customHeight="1" x14ac:dyDescent="0.15">
      <c r="B430" s="3"/>
      <c r="C430" s="3"/>
    </row>
    <row r="431" spans="2:3" ht="12.75" customHeight="1" x14ac:dyDescent="0.15">
      <c r="B431" s="3"/>
      <c r="C431" s="3"/>
    </row>
    <row r="432" spans="2:3" ht="12.75" customHeight="1" x14ac:dyDescent="0.15">
      <c r="B432" s="3"/>
      <c r="C432" s="3"/>
    </row>
    <row r="433" spans="2:3" ht="12.75" customHeight="1" x14ac:dyDescent="0.15">
      <c r="B433" s="3"/>
      <c r="C433" s="3"/>
    </row>
    <row r="434" spans="2:3" ht="12.75" customHeight="1" x14ac:dyDescent="0.15">
      <c r="B434" s="3"/>
      <c r="C434" s="3"/>
    </row>
    <row r="435" spans="2:3" ht="12.75" customHeight="1" x14ac:dyDescent="0.15">
      <c r="B435" s="3"/>
      <c r="C435" s="3"/>
    </row>
    <row r="436" spans="2:3" ht="12.75" customHeight="1" x14ac:dyDescent="0.15">
      <c r="B436" s="3"/>
      <c r="C436" s="3"/>
    </row>
    <row r="437" spans="2:3" ht="12.75" customHeight="1" x14ac:dyDescent="0.15">
      <c r="B437" s="3"/>
      <c r="C437" s="3"/>
    </row>
    <row r="438" spans="2:3" ht="12.75" customHeight="1" x14ac:dyDescent="0.15">
      <c r="B438" s="3"/>
      <c r="C438" s="3"/>
    </row>
    <row r="439" spans="2:3" ht="12.75" customHeight="1" x14ac:dyDescent="0.15">
      <c r="B439" s="3"/>
      <c r="C439" s="3"/>
    </row>
    <row r="440" spans="2:3" ht="12.75" customHeight="1" x14ac:dyDescent="0.15">
      <c r="B440" s="3"/>
      <c r="C440" s="3"/>
    </row>
    <row r="441" spans="2:3" ht="12.75" customHeight="1" x14ac:dyDescent="0.15">
      <c r="B441" s="3"/>
      <c r="C441" s="3"/>
    </row>
    <row r="442" spans="2:3" ht="12.75" customHeight="1" x14ac:dyDescent="0.15">
      <c r="B442" s="3"/>
      <c r="C442" s="3"/>
    </row>
    <row r="443" spans="2:3" ht="12.75" customHeight="1" x14ac:dyDescent="0.15">
      <c r="B443" s="3"/>
      <c r="C443" s="3"/>
    </row>
    <row r="444" spans="2:3" ht="12.75" customHeight="1" x14ac:dyDescent="0.15">
      <c r="B444" s="3"/>
      <c r="C444" s="3"/>
    </row>
    <row r="445" spans="2:3" ht="12.75" customHeight="1" x14ac:dyDescent="0.15">
      <c r="B445" s="3"/>
      <c r="C445" s="3"/>
    </row>
    <row r="446" spans="2:3" ht="12.75" customHeight="1" x14ac:dyDescent="0.15">
      <c r="B446" s="3"/>
      <c r="C446" s="3"/>
    </row>
    <row r="447" spans="2:3" ht="12.75" customHeight="1" x14ac:dyDescent="0.15">
      <c r="B447" s="3"/>
      <c r="C447" s="3"/>
    </row>
    <row r="448" spans="2:3" ht="12.75" customHeight="1" x14ac:dyDescent="0.15">
      <c r="B448" s="3"/>
      <c r="C448" s="3"/>
    </row>
    <row r="449" spans="2:3" ht="12.75" customHeight="1" x14ac:dyDescent="0.15">
      <c r="B449" s="3"/>
      <c r="C449" s="3"/>
    </row>
    <row r="450" spans="2:3" ht="12.75" customHeight="1" x14ac:dyDescent="0.15">
      <c r="B450" s="3"/>
      <c r="C450" s="3"/>
    </row>
    <row r="451" spans="2:3" ht="12.75" customHeight="1" x14ac:dyDescent="0.15">
      <c r="B451" s="3"/>
      <c r="C451" s="3"/>
    </row>
    <row r="452" spans="2:3" ht="12.75" customHeight="1" x14ac:dyDescent="0.15">
      <c r="B452" s="3"/>
      <c r="C452" s="3"/>
    </row>
    <row r="453" spans="2:3" ht="12.75" customHeight="1" x14ac:dyDescent="0.15">
      <c r="B453" s="3"/>
      <c r="C453" s="3"/>
    </row>
    <row r="454" spans="2:3" ht="12.75" customHeight="1" x14ac:dyDescent="0.15">
      <c r="B454" s="3"/>
      <c r="C454" s="3"/>
    </row>
    <row r="455" spans="2:3" ht="12.75" customHeight="1" x14ac:dyDescent="0.15">
      <c r="B455" s="3"/>
      <c r="C455" s="3"/>
    </row>
    <row r="456" spans="2:3" ht="12.75" customHeight="1" x14ac:dyDescent="0.15">
      <c r="B456" s="3"/>
      <c r="C456" s="3"/>
    </row>
    <row r="457" spans="2:3" ht="12.75" customHeight="1" x14ac:dyDescent="0.15">
      <c r="B457" s="3"/>
      <c r="C457" s="3"/>
    </row>
    <row r="458" spans="2:3" ht="12.75" customHeight="1" x14ac:dyDescent="0.15">
      <c r="B458" s="3"/>
      <c r="C458" s="3"/>
    </row>
    <row r="459" spans="2:3" ht="12.75" customHeight="1" x14ac:dyDescent="0.15">
      <c r="B459" s="3"/>
      <c r="C459" s="3"/>
    </row>
    <row r="460" spans="2:3" ht="12.75" customHeight="1" x14ac:dyDescent="0.15">
      <c r="B460" s="3"/>
      <c r="C460" s="3"/>
    </row>
    <row r="461" spans="2:3" ht="12.75" customHeight="1" x14ac:dyDescent="0.15">
      <c r="B461" s="3"/>
      <c r="C461" s="3"/>
    </row>
    <row r="462" spans="2:3" ht="12.75" customHeight="1" x14ac:dyDescent="0.15">
      <c r="B462" s="3"/>
      <c r="C462" s="3"/>
    </row>
    <row r="463" spans="2:3" ht="12.75" customHeight="1" x14ac:dyDescent="0.15">
      <c r="B463" s="3"/>
      <c r="C463" s="3"/>
    </row>
    <row r="464" spans="2:3" ht="12.75" customHeight="1" x14ac:dyDescent="0.15">
      <c r="B464" s="3"/>
      <c r="C464" s="3"/>
    </row>
    <row r="465" spans="2:3" ht="12.75" customHeight="1" x14ac:dyDescent="0.15">
      <c r="B465" s="3"/>
      <c r="C465" s="3"/>
    </row>
    <row r="466" spans="2:3" ht="12.75" customHeight="1" x14ac:dyDescent="0.15">
      <c r="B466" s="3"/>
      <c r="C466" s="3"/>
    </row>
    <row r="467" spans="2:3" ht="12.75" customHeight="1" x14ac:dyDescent="0.15">
      <c r="B467" s="3"/>
      <c r="C467" s="3"/>
    </row>
    <row r="468" spans="2:3" ht="12.75" customHeight="1" x14ac:dyDescent="0.15">
      <c r="B468" s="3"/>
      <c r="C468" s="3"/>
    </row>
    <row r="469" spans="2:3" ht="12.75" customHeight="1" x14ac:dyDescent="0.15">
      <c r="B469" s="3"/>
      <c r="C469" s="3"/>
    </row>
    <row r="470" spans="2:3" ht="12.75" customHeight="1" x14ac:dyDescent="0.15">
      <c r="B470" s="3"/>
      <c r="C470" s="3"/>
    </row>
    <row r="471" spans="2:3" ht="12.75" customHeight="1" x14ac:dyDescent="0.15">
      <c r="B471" s="3"/>
      <c r="C471" s="3"/>
    </row>
    <row r="472" spans="2:3" ht="12.75" customHeight="1" x14ac:dyDescent="0.15">
      <c r="B472" s="3"/>
      <c r="C472" s="3"/>
    </row>
    <row r="473" spans="2:3" ht="12.75" customHeight="1" x14ac:dyDescent="0.15">
      <c r="B473" s="3"/>
      <c r="C473" s="3"/>
    </row>
    <row r="474" spans="2:3" ht="12.75" customHeight="1" x14ac:dyDescent="0.15">
      <c r="B474" s="3"/>
      <c r="C474" s="3"/>
    </row>
    <row r="475" spans="2:3" ht="12.75" customHeight="1" x14ac:dyDescent="0.15">
      <c r="B475" s="3"/>
      <c r="C475" s="3"/>
    </row>
    <row r="476" spans="2:3" ht="12.75" customHeight="1" x14ac:dyDescent="0.15">
      <c r="B476" s="3"/>
      <c r="C476" s="3"/>
    </row>
    <row r="477" spans="2:3" ht="12.75" customHeight="1" x14ac:dyDescent="0.15">
      <c r="B477" s="3"/>
      <c r="C477" s="3"/>
    </row>
    <row r="478" spans="2:3" ht="12.75" customHeight="1" x14ac:dyDescent="0.15">
      <c r="B478" s="3"/>
      <c r="C478" s="3"/>
    </row>
    <row r="479" spans="2:3" ht="12.75" customHeight="1" x14ac:dyDescent="0.15">
      <c r="B479" s="3"/>
      <c r="C479" s="3"/>
    </row>
    <row r="480" spans="2:3" ht="12.75" customHeight="1" x14ac:dyDescent="0.15">
      <c r="B480" s="3"/>
      <c r="C480" s="3"/>
    </row>
    <row r="481" spans="2:3" ht="12.75" customHeight="1" x14ac:dyDescent="0.15">
      <c r="B481" s="3"/>
      <c r="C481" s="3"/>
    </row>
    <row r="482" spans="2:3" ht="12.75" customHeight="1" x14ac:dyDescent="0.15">
      <c r="B482" s="3"/>
      <c r="C482" s="3"/>
    </row>
    <row r="483" spans="2:3" ht="12.75" customHeight="1" x14ac:dyDescent="0.15">
      <c r="B483" s="3"/>
      <c r="C483" s="3"/>
    </row>
    <row r="484" spans="2:3" ht="12.75" customHeight="1" x14ac:dyDescent="0.15">
      <c r="B484" s="3"/>
      <c r="C484" s="3"/>
    </row>
    <row r="485" spans="2:3" ht="12.75" customHeight="1" x14ac:dyDescent="0.15">
      <c r="B485" s="3"/>
      <c r="C485" s="3"/>
    </row>
    <row r="486" spans="2:3" ht="12.75" customHeight="1" x14ac:dyDescent="0.15">
      <c r="B486" s="3"/>
      <c r="C486" s="3"/>
    </row>
    <row r="487" spans="2:3" ht="12.75" customHeight="1" x14ac:dyDescent="0.15">
      <c r="B487" s="3"/>
      <c r="C487" s="3"/>
    </row>
    <row r="488" spans="2:3" ht="12.75" customHeight="1" x14ac:dyDescent="0.15">
      <c r="B488" s="3"/>
      <c r="C488" s="3"/>
    </row>
    <row r="489" spans="2:3" ht="12.75" customHeight="1" x14ac:dyDescent="0.15">
      <c r="B489" s="3"/>
      <c r="C489" s="3"/>
    </row>
    <row r="490" spans="2:3" ht="12.75" customHeight="1" x14ac:dyDescent="0.15">
      <c r="B490" s="3"/>
      <c r="C490" s="3"/>
    </row>
    <row r="491" spans="2:3" ht="12.75" customHeight="1" x14ac:dyDescent="0.15">
      <c r="B491" s="3"/>
      <c r="C491" s="3"/>
    </row>
    <row r="492" spans="2:3" ht="12.75" customHeight="1" x14ac:dyDescent="0.15">
      <c r="B492" s="3"/>
      <c r="C492" s="3"/>
    </row>
    <row r="493" spans="2:3" ht="12.75" customHeight="1" x14ac:dyDescent="0.15">
      <c r="B493" s="3"/>
      <c r="C493" s="3"/>
    </row>
    <row r="494" spans="2:3" ht="12.75" customHeight="1" x14ac:dyDescent="0.15">
      <c r="B494" s="3"/>
      <c r="C494" s="3"/>
    </row>
    <row r="495" spans="2:3" ht="12.75" customHeight="1" x14ac:dyDescent="0.15">
      <c r="B495" s="3"/>
      <c r="C495" s="3"/>
    </row>
    <row r="496" spans="2:3" ht="12.75" customHeight="1" x14ac:dyDescent="0.15">
      <c r="B496" s="3"/>
      <c r="C496" s="3"/>
    </row>
    <row r="497" spans="2:3" ht="12.75" customHeight="1" x14ac:dyDescent="0.15">
      <c r="B497" s="3"/>
      <c r="C497" s="3"/>
    </row>
    <row r="498" spans="2:3" ht="12.75" customHeight="1" x14ac:dyDescent="0.15">
      <c r="B498" s="3"/>
      <c r="C498" s="3"/>
    </row>
    <row r="499" spans="2:3" ht="12.75" customHeight="1" x14ac:dyDescent="0.15">
      <c r="B499" s="3"/>
      <c r="C499" s="3"/>
    </row>
    <row r="500" spans="2:3" ht="12.75" customHeight="1" x14ac:dyDescent="0.15">
      <c r="B500" s="3"/>
      <c r="C500" s="3"/>
    </row>
    <row r="501" spans="2:3" ht="12.75" customHeight="1" x14ac:dyDescent="0.15">
      <c r="B501" s="3"/>
      <c r="C501" s="3"/>
    </row>
    <row r="502" spans="2:3" ht="12.75" customHeight="1" x14ac:dyDescent="0.15">
      <c r="B502" s="3"/>
      <c r="C502" s="3"/>
    </row>
    <row r="503" spans="2:3" ht="12.75" customHeight="1" x14ac:dyDescent="0.15">
      <c r="B503" s="3"/>
      <c r="C503" s="3"/>
    </row>
    <row r="504" spans="2:3" ht="12.75" customHeight="1" x14ac:dyDescent="0.15">
      <c r="B504" s="3"/>
      <c r="C504" s="3"/>
    </row>
    <row r="505" spans="2:3" ht="12.75" customHeight="1" x14ac:dyDescent="0.15">
      <c r="B505" s="3"/>
      <c r="C505" s="3"/>
    </row>
    <row r="506" spans="2:3" ht="12.75" customHeight="1" x14ac:dyDescent="0.15">
      <c r="B506" s="3"/>
      <c r="C506" s="3"/>
    </row>
    <row r="507" spans="2:3" ht="12.75" customHeight="1" x14ac:dyDescent="0.15">
      <c r="B507" s="3"/>
      <c r="C507" s="3"/>
    </row>
    <row r="508" spans="2:3" ht="12.75" customHeight="1" x14ac:dyDescent="0.15">
      <c r="B508" s="3"/>
      <c r="C508" s="3"/>
    </row>
    <row r="509" spans="2:3" ht="12.75" customHeight="1" x14ac:dyDescent="0.15">
      <c r="B509" s="3"/>
      <c r="C509" s="3"/>
    </row>
    <row r="510" spans="2:3" ht="12.75" customHeight="1" x14ac:dyDescent="0.15">
      <c r="B510" s="3"/>
      <c r="C510" s="3"/>
    </row>
    <row r="511" spans="2:3" ht="12.75" customHeight="1" x14ac:dyDescent="0.15">
      <c r="B511" s="3"/>
      <c r="C511" s="3"/>
    </row>
    <row r="512" spans="2:3" ht="12.75" customHeight="1" x14ac:dyDescent="0.15">
      <c r="B512" s="3"/>
      <c r="C512" s="3"/>
    </row>
    <row r="513" spans="2:3" ht="12.75" customHeight="1" x14ac:dyDescent="0.15">
      <c r="B513" s="3"/>
      <c r="C513" s="3"/>
    </row>
    <row r="514" spans="2:3" ht="12.75" customHeight="1" x14ac:dyDescent="0.15">
      <c r="B514" s="3"/>
      <c r="C514" s="3"/>
    </row>
    <row r="515" spans="2:3" ht="12.75" customHeight="1" x14ac:dyDescent="0.15">
      <c r="B515" s="3"/>
      <c r="C515" s="3"/>
    </row>
    <row r="516" spans="2:3" ht="12.75" customHeight="1" x14ac:dyDescent="0.15">
      <c r="B516" s="3"/>
      <c r="C516" s="3"/>
    </row>
    <row r="517" spans="2:3" ht="12.75" customHeight="1" x14ac:dyDescent="0.15">
      <c r="B517" s="3"/>
      <c r="C517" s="3"/>
    </row>
    <row r="518" spans="2:3" ht="12.75" customHeight="1" x14ac:dyDescent="0.15">
      <c r="B518" s="3"/>
      <c r="C518" s="3"/>
    </row>
    <row r="519" spans="2:3" ht="12.75" customHeight="1" x14ac:dyDescent="0.15">
      <c r="B519" s="3"/>
      <c r="C519" s="3"/>
    </row>
    <row r="520" spans="2:3" ht="12.75" customHeight="1" x14ac:dyDescent="0.15">
      <c r="B520" s="3"/>
      <c r="C520" s="3"/>
    </row>
    <row r="521" spans="2:3" ht="12.75" customHeight="1" x14ac:dyDescent="0.15">
      <c r="B521" s="3"/>
      <c r="C521" s="3"/>
    </row>
    <row r="522" spans="2:3" ht="12.75" customHeight="1" x14ac:dyDescent="0.15">
      <c r="B522" s="3"/>
      <c r="C522" s="3"/>
    </row>
    <row r="523" spans="2:3" ht="12.75" customHeight="1" x14ac:dyDescent="0.15">
      <c r="B523" s="3"/>
      <c r="C523" s="3"/>
    </row>
    <row r="524" spans="2:3" ht="12.75" customHeight="1" x14ac:dyDescent="0.15">
      <c r="B524" s="3"/>
      <c r="C524" s="3"/>
    </row>
    <row r="525" spans="2:3" ht="12.75" customHeight="1" x14ac:dyDescent="0.15">
      <c r="B525" s="3"/>
      <c r="C525" s="3"/>
    </row>
    <row r="526" spans="2:3" ht="12.75" customHeight="1" x14ac:dyDescent="0.15">
      <c r="B526" s="3"/>
      <c r="C526" s="3"/>
    </row>
    <row r="527" spans="2:3" ht="12.75" customHeight="1" x14ac:dyDescent="0.15">
      <c r="B527" s="3"/>
      <c r="C527" s="3"/>
    </row>
    <row r="528" spans="2:3" ht="12.75" customHeight="1" x14ac:dyDescent="0.15">
      <c r="B528" s="3"/>
      <c r="C528" s="3"/>
    </row>
    <row r="529" spans="2:3" ht="12.75" customHeight="1" x14ac:dyDescent="0.15">
      <c r="B529" s="3"/>
      <c r="C529" s="3"/>
    </row>
    <row r="530" spans="2:3" ht="12.75" customHeight="1" x14ac:dyDescent="0.15">
      <c r="B530" s="3"/>
      <c r="C530" s="3"/>
    </row>
    <row r="531" spans="2:3" ht="12.75" customHeight="1" x14ac:dyDescent="0.15">
      <c r="B531" s="3"/>
      <c r="C531" s="3"/>
    </row>
    <row r="532" spans="2:3" ht="12.75" customHeight="1" x14ac:dyDescent="0.15">
      <c r="B532" s="3"/>
      <c r="C532" s="3"/>
    </row>
    <row r="533" spans="2:3" ht="12.75" customHeight="1" x14ac:dyDescent="0.15">
      <c r="B533" s="3"/>
      <c r="C533" s="3"/>
    </row>
    <row r="534" spans="2:3" ht="12.75" customHeight="1" x14ac:dyDescent="0.15">
      <c r="B534" s="3"/>
      <c r="C534" s="3"/>
    </row>
    <row r="535" spans="2:3" ht="12.75" customHeight="1" x14ac:dyDescent="0.15">
      <c r="B535" s="3"/>
      <c r="C535" s="3"/>
    </row>
    <row r="536" spans="2:3" ht="12.75" customHeight="1" x14ac:dyDescent="0.15">
      <c r="B536" s="3"/>
      <c r="C536" s="3"/>
    </row>
    <row r="537" spans="2:3" ht="12.75" customHeight="1" x14ac:dyDescent="0.15">
      <c r="B537" s="3"/>
      <c r="C537" s="3"/>
    </row>
    <row r="538" spans="2:3" ht="12.75" customHeight="1" x14ac:dyDescent="0.15">
      <c r="B538" s="3"/>
      <c r="C538" s="3"/>
    </row>
    <row r="539" spans="2:3" ht="12.75" customHeight="1" x14ac:dyDescent="0.15">
      <c r="B539" s="3"/>
      <c r="C539" s="3"/>
    </row>
    <row r="540" spans="2:3" ht="12.75" customHeight="1" x14ac:dyDescent="0.15">
      <c r="B540" s="3"/>
      <c r="C540" s="3"/>
    </row>
    <row r="541" spans="2:3" ht="12.75" customHeight="1" x14ac:dyDescent="0.15">
      <c r="B541" s="3"/>
      <c r="C541" s="3"/>
    </row>
    <row r="542" spans="2:3" ht="12.75" customHeight="1" x14ac:dyDescent="0.15">
      <c r="B542" s="3"/>
      <c r="C542" s="3"/>
    </row>
    <row r="543" spans="2:3" ht="12.75" customHeight="1" x14ac:dyDescent="0.15">
      <c r="B543" s="3"/>
      <c r="C543" s="3"/>
    </row>
    <row r="544" spans="2:3" ht="12.75" customHeight="1" x14ac:dyDescent="0.15">
      <c r="B544" s="3"/>
      <c r="C544" s="3"/>
    </row>
    <row r="545" spans="2:3" ht="12.75" customHeight="1" x14ac:dyDescent="0.15">
      <c r="B545" s="3"/>
      <c r="C545" s="3"/>
    </row>
    <row r="546" spans="2:3" ht="12.75" customHeight="1" x14ac:dyDescent="0.15">
      <c r="B546" s="3"/>
      <c r="C546" s="3"/>
    </row>
    <row r="547" spans="2:3" ht="12.75" customHeight="1" x14ac:dyDescent="0.15">
      <c r="B547" s="3"/>
      <c r="C547" s="3"/>
    </row>
    <row r="548" spans="2:3" ht="12.75" customHeight="1" x14ac:dyDescent="0.15">
      <c r="B548" s="3"/>
      <c r="C548" s="3"/>
    </row>
    <row r="549" spans="2:3" ht="12.75" customHeight="1" x14ac:dyDescent="0.15">
      <c r="B549" s="3"/>
      <c r="C549" s="3"/>
    </row>
    <row r="550" spans="2:3" ht="12.75" customHeight="1" x14ac:dyDescent="0.15">
      <c r="B550" s="3"/>
      <c r="C550" s="3"/>
    </row>
    <row r="551" spans="2:3" ht="12.75" customHeight="1" x14ac:dyDescent="0.15">
      <c r="B551" s="3"/>
      <c r="C551" s="3"/>
    </row>
    <row r="552" spans="2:3" ht="12.75" customHeight="1" x14ac:dyDescent="0.15">
      <c r="B552" s="3"/>
      <c r="C552" s="3"/>
    </row>
    <row r="553" spans="2:3" ht="12.75" customHeight="1" x14ac:dyDescent="0.15">
      <c r="B553" s="3"/>
      <c r="C553" s="3"/>
    </row>
    <row r="554" spans="2:3" ht="12.75" customHeight="1" x14ac:dyDescent="0.15">
      <c r="B554" s="3"/>
      <c r="C554" s="3"/>
    </row>
    <row r="555" spans="2:3" ht="12.75" customHeight="1" x14ac:dyDescent="0.15">
      <c r="B555" s="3"/>
      <c r="C555" s="3"/>
    </row>
    <row r="556" spans="2:3" ht="12.75" customHeight="1" x14ac:dyDescent="0.15">
      <c r="B556" s="3"/>
      <c r="C556" s="3"/>
    </row>
    <row r="557" spans="2:3" ht="12.75" customHeight="1" x14ac:dyDescent="0.15">
      <c r="B557" s="3"/>
      <c r="C557" s="3"/>
    </row>
    <row r="558" spans="2:3" ht="12.75" customHeight="1" x14ac:dyDescent="0.15">
      <c r="B558" s="3"/>
      <c r="C558" s="3"/>
    </row>
    <row r="559" spans="2:3" ht="12.75" customHeight="1" x14ac:dyDescent="0.15">
      <c r="B559" s="3"/>
      <c r="C559" s="3"/>
    </row>
    <row r="560" spans="2:3" ht="12.75" customHeight="1" x14ac:dyDescent="0.15">
      <c r="B560" s="3"/>
      <c r="C560" s="3"/>
    </row>
    <row r="561" spans="2:3" ht="12.75" customHeight="1" x14ac:dyDescent="0.15">
      <c r="B561" s="3"/>
      <c r="C561" s="3"/>
    </row>
    <row r="562" spans="2:3" ht="12.75" customHeight="1" x14ac:dyDescent="0.15">
      <c r="B562" s="3"/>
      <c r="C562" s="3"/>
    </row>
    <row r="563" spans="2:3" ht="12.75" customHeight="1" x14ac:dyDescent="0.15">
      <c r="B563" s="3"/>
      <c r="C563" s="3"/>
    </row>
    <row r="564" spans="2:3" ht="12.75" customHeight="1" x14ac:dyDescent="0.15">
      <c r="B564" s="3"/>
      <c r="C564" s="3"/>
    </row>
    <row r="565" spans="2:3" ht="12.75" customHeight="1" x14ac:dyDescent="0.15">
      <c r="B565" s="3"/>
      <c r="C565" s="3"/>
    </row>
    <row r="566" spans="2:3" ht="12.75" customHeight="1" x14ac:dyDescent="0.15">
      <c r="B566" s="3"/>
      <c r="C566" s="3"/>
    </row>
    <row r="567" spans="2:3" ht="12.75" customHeight="1" x14ac:dyDescent="0.15">
      <c r="B567" s="3"/>
      <c r="C567" s="3"/>
    </row>
    <row r="568" spans="2:3" ht="12.75" customHeight="1" x14ac:dyDescent="0.15">
      <c r="B568" s="3"/>
      <c r="C568" s="3"/>
    </row>
    <row r="569" spans="2:3" ht="12.75" customHeight="1" x14ac:dyDescent="0.15">
      <c r="B569" s="3"/>
      <c r="C569" s="3"/>
    </row>
    <row r="570" spans="2:3" ht="12.75" customHeight="1" x14ac:dyDescent="0.15">
      <c r="B570" s="3"/>
      <c r="C570" s="3"/>
    </row>
    <row r="571" spans="2:3" ht="12.75" customHeight="1" x14ac:dyDescent="0.15">
      <c r="B571" s="3"/>
      <c r="C571" s="3"/>
    </row>
    <row r="572" spans="2:3" ht="12.75" customHeight="1" x14ac:dyDescent="0.15">
      <c r="B572" s="3"/>
      <c r="C572" s="3"/>
    </row>
    <row r="573" spans="2:3" ht="12.75" customHeight="1" x14ac:dyDescent="0.15">
      <c r="B573" s="3"/>
      <c r="C573" s="3"/>
    </row>
    <row r="574" spans="2:3" ht="12.75" customHeight="1" x14ac:dyDescent="0.15">
      <c r="B574" s="3"/>
      <c r="C574" s="3"/>
    </row>
    <row r="575" spans="2:3" ht="12.75" customHeight="1" x14ac:dyDescent="0.15">
      <c r="B575" s="3"/>
      <c r="C575" s="3"/>
    </row>
    <row r="576" spans="2:3" ht="12.75" customHeight="1" x14ac:dyDescent="0.15">
      <c r="B576" s="3"/>
      <c r="C576" s="3"/>
    </row>
    <row r="577" spans="2:3" ht="12.75" customHeight="1" x14ac:dyDescent="0.15">
      <c r="B577" s="3"/>
      <c r="C577" s="3"/>
    </row>
    <row r="578" spans="2:3" ht="12.75" customHeight="1" x14ac:dyDescent="0.15">
      <c r="B578" s="3"/>
      <c r="C578" s="3"/>
    </row>
    <row r="579" spans="2:3" ht="12.75" customHeight="1" x14ac:dyDescent="0.15">
      <c r="B579" s="3"/>
      <c r="C579" s="3"/>
    </row>
    <row r="580" spans="2:3" ht="12.75" customHeight="1" x14ac:dyDescent="0.15">
      <c r="B580" s="3"/>
      <c r="C580" s="3"/>
    </row>
    <row r="581" spans="2:3" ht="12.75" customHeight="1" x14ac:dyDescent="0.15">
      <c r="B581" s="3"/>
      <c r="C581" s="3"/>
    </row>
    <row r="582" spans="2:3" ht="12.75" customHeight="1" x14ac:dyDescent="0.15">
      <c r="B582" s="3"/>
      <c r="C582" s="3"/>
    </row>
    <row r="583" spans="2:3" ht="12.75" customHeight="1" x14ac:dyDescent="0.15">
      <c r="B583" s="3"/>
      <c r="C583" s="3"/>
    </row>
    <row r="584" spans="2:3" ht="12.75" customHeight="1" x14ac:dyDescent="0.15">
      <c r="B584" s="3"/>
      <c r="C584" s="3"/>
    </row>
    <row r="585" spans="2:3" ht="12.75" customHeight="1" x14ac:dyDescent="0.15">
      <c r="B585" s="3"/>
      <c r="C585" s="3"/>
    </row>
    <row r="586" spans="2:3" ht="12.75" customHeight="1" x14ac:dyDescent="0.15">
      <c r="B586" s="3"/>
      <c r="C586" s="3"/>
    </row>
    <row r="587" spans="2:3" ht="12.75" customHeight="1" x14ac:dyDescent="0.15">
      <c r="B587" s="3"/>
      <c r="C587" s="3"/>
    </row>
    <row r="588" spans="2:3" ht="12.75" customHeight="1" x14ac:dyDescent="0.15">
      <c r="B588" s="3"/>
      <c r="C588" s="3"/>
    </row>
    <row r="589" spans="2:3" ht="12.75" customHeight="1" x14ac:dyDescent="0.15">
      <c r="B589" s="3"/>
      <c r="C589" s="3"/>
    </row>
    <row r="590" spans="2:3" ht="12.75" customHeight="1" x14ac:dyDescent="0.15">
      <c r="B590" s="3"/>
      <c r="C590" s="3"/>
    </row>
    <row r="591" spans="2:3" ht="12.75" customHeight="1" x14ac:dyDescent="0.15">
      <c r="B591" s="3"/>
      <c r="C591" s="3"/>
    </row>
    <row r="592" spans="2:3" ht="12.75" customHeight="1" x14ac:dyDescent="0.15">
      <c r="B592" s="3"/>
      <c r="C592" s="3"/>
    </row>
    <row r="593" spans="2:3" ht="12.75" customHeight="1" x14ac:dyDescent="0.15">
      <c r="B593" s="3"/>
      <c r="C593" s="3"/>
    </row>
    <row r="594" spans="2:3" ht="12.75" customHeight="1" x14ac:dyDescent="0.15">
      <c r="B594" s="3"/>
      <c r="C594" s="3"/>
    </row>
    <row r="595" spans="2:3" ht="12.75" customHeight="1" x14ac:dyDescent="0.15">
      <c r="B595" s="3"/>
      <c r="C595" s="3"/>
    </row>
    <row r="596" spans="2:3" ht="12.75" customHeight="1" x14ac:dyDescent="0.15">
      <c r="B596" s="3"/>
      <c r="C596" s="3"/>
    </row>
    <row r="597" spans="2:3" ht="12.75" customHeight="1" x14ac:dyDescent="0.15">
      <c r="B597" s="3"/>
      <c r="C597" s="3"/>
    </row>
    <row r="598" spans="2:3" ht="12.75" customHeight="1" x14ac:dyDescent="0.15">
      <c r="B598" s="3"/>
      <c r="C598" s="3"/>
    </row>
    <row r="599" spans="2:3" ht="12.75" customHeight="1" x14ac:dyDescent="0.15">
      <c r="B599" s="3"/>
      <c r="C599" s="3"/>
    </row>
    <row r="600" spans="2:3" ht="12.75" customHeight="1" x14ac:dyDescent="0.15">
      <c r="B600" s="3"/>
      <c r="C600" s="3"/>
    </row>
    <row r="601" spans="2:3" ht="12.75" customHeight="1" x14ac:dyDescent="0.15">
      <c r="B601" s="3"/>
      <c r="C601" s="3"/>
    </row>
    <row r="602" spans="2:3" ht="12.75" customHeight="1" x14ac:dyDescent="0.15">
      <c r="B602" s="3"/>
      <c r="C602" s="3"/>
    </row>
    <row r="603" spans="2:3" ht="12.75" customHeight="1" x14ac:dyDescent="0.15">
      <c r="B603" s="3"/>
      <c r="C603" s="3"/>
    </row>
    <row r="604" spans="2:3" ht="12.75" customHeight="1" x14ac:dyDescent="0.15">
      <c r="B604" s="3"/>
      <c r="C604" s="3"/>
    </row>
    <row r="605" spans="2:3" ht="12.75" customHeight="1" x14ac:dyDescent="0.15">
      <c r="B605" s="3"/>
      <c r="C605" s="3"/>
    </row>
    <row r="606" spans="2:3" ht="12.75" customHeight="1" x14ac:dyDescent="0.15">
      <c r="B606" s="3"/>
      <c r="C606" s="3"/>
    </row>
    <row r="607" spans="2:3" ht="12.75" customHeight="1" x14ac:dyDescent="0.15">
      <c r="B607" s="3"/>
      <c r="C607" s="3"/>
    </row>
    <row r="608" spans="2:3" ht="12.75" customHeight="1" x14ac:dyDescent="0.15">
      <c r="B608" s="3"/>
      <c r="C608" s="3"/>
    </row>
    <row r="609" spans="2:3" ht="12.75" customHeight="1" x14ac:dyDescent="0.15">
      <c r="B609" s="3"/>
      <c r="C609" s="3"/>
    </row>
    <row r="610" spans="2:3" ht="12.75" customHeight="1" x14ac:dyDescent="0.15">
      <c r="B610" s="3"/>
      <c r="C610" s="3"/>
    </row>
    <row r="611" spans="2:3" ht="12.75" customHeight="1" x14ac:dyDescent="0.15">
      <c r="B611" s="3"/>
      <c r="C611" s="3"/>
    </row>
    <row r="612" spans="2:3" ht="12.75" customHeight="1" x14ac:dyDescent="0.15">
      <c r="B612" s="3"/>
      <c r="C612" s="3"/>
    </row>
    <row r="613" spans="2:3" ht="12.75" customHeight="1" x14ac:dyDescent="0.15">
      <c r="B613" s="3"/>
      <c r="C613" s="3"/>
    </row>
    <row r="614" spans="2:3" ht="12.75" customHeight="1" x14ac:dyDescent="0.15">
      <c r="B614" s="3"/>
      <c r="C614" s="3"/>
    </row>
    <row r="615" spans="2:3" ht="12.75" customHeight="1" x14ac:dyDescent="0.15">
      <c r="B615" s="3"/>
      <c r="C615" s="3"/>
    </row>
    <row r="616" spans="2:3" ht="12.75" customHeight="1" x14ac:dyDescent="0.15">
      <c r="B616" s="3"/>
      <c r="C616" s="3"/>
    </row>
    <row r="617" spans="2:3" ht="12.75" customHeight="1" x14ac:dyDescent="0.15">
      <c r="B617" s="3"/>
      <c r="C617" s="3"/>
    </row>
    <row r="618" spans="2:3" ht="12.75" customHeight="1" x14ac:dyDescent="0.15">
      <c r="B618" s="3"/>
      <c r="C618" s="3"/>
    </row>
    <row r="619" spans="2:3" ht="12.75" customHeight="1" x14ac:dyDescent="0.15">
      <c r="B619" s="3"/>
      <c r="C619" s="3"/>
    </row>
    <row r="620" spans="2:3" ht="12.75" customHeight="1" x14ac:dyDescent="0.15">
      <c r="B620" s="3"/>
      <c r="C620" s="3"/>
    </row>
    <row r="621" spans="2:3" ht="12.75" customHeight="1" x14ac:dyDescent="0.15">
      <c r="B621" s="3"/>
      <c r="C621" s="3"/>
    </row>
    <row r="622" spans="2:3" ht="12.75" customHeight="1" x14ac:dyDescent="0.15">
      <c r="B622" s="3"/>
      <c r="C622" s="3"/>
    </row>
    <row r="623" spans="2:3" ht="12.75" customHeight="1" x14ac:dyDescent="0.15">
      <c r="B623" s="3"/>
      <c r="C623" s="3"/>
    </row>
    <row r="624" spans="2:3" ht="12.75" customHeight="1" x14ac:dyDescent="0.15">
      <c r="B624" s="3"/>
      <c r="C624" s="3"/>
    </row>
    <row r="625" spans="2:3" ht="12.75" customHeight="1" x14ac:dyDescent="0.15">
      <c r="B625" s="3"/>
      <c r="C625" s="3"/>
    </row>
    <row r="626" spans="2:3" ht="12.75" customHeight="1" x14ac:dyDescent="0.15">
      <c r="B626" s="3"/>
      <c r="C626" s="3"/>
    </row>
    <row r="627" spans="2:3" ht="12.75" customHeight="1" x14ac:dyDescent="0.15">
      <c r="B627" s="3"/>
      <c r="C627" s="3"/>
    </row>
    <row r="628" spans="2:3" ht="12.75" customHeight="1" x14ac:dyDescent="0.15">
      <c r="B628" s="3"/>
      <c r="C628" s="3"/>
    </row>
    <row r="629" spans="2:3" ht="12.75" customHeight="1" x14ac:dyDescent="0.15">
      <c r="B629" s="3"/>
      <c r="C629" s="3"/>
    </row>
    <row r="630" spans="2:3" ht="12.75" customHeight="1" x14ac:dyDescent="0.15">
      <c r="B630" s="3"/>
      <c r="C630" s="3"/>
    </row>
    <row r="631" spans="2:3" ht="12.75" customHeight="1" x14ac:dyDescent="0.15">
      <c r="B631" s="3"/>
      <c r="C631" s="3"/>
    </row>
    <row r="632" spans="2:3" ht="12.75" customHeight="1" x14ac:dyDescent="0.15">
      <c r="B632" s="3"/>
      <c r="C632" s="3"/>
    </row>
    <row r="633" spans="2:3" ht="12.75" customHeight="1" x14ac:dyDescent="0.15">
      <c r="B633" s="3"/>
      <c r="C633" s="3"/>
    </row>
    <row r="634" spans="2:3" ht="12.75" customHeight="1" x14ac:dyDescent="0.15">
      <c r="B634" s="3"/>
      <c r="C634" s="3"/>
    </row>
    <row r="635" spans="2:3" ht="12.75" customHeight="1" x14ac:dyDescent="0.15">
      <c r="B635" s="3"/>
      <c r="C635" s="3"/>
    </row>
    <row r="636" spans="2:3" ht="12.75" customHeight="1" x14ac:dyDescent="0.15">
      <c r="B636" s="3"/>
      <c r="C636" s="3"/>
    </row>
    <row r="637" spans="2:3" ht="12.75" customHeight="1" x14ac:dyDescent="0.15">
      <c r="B637" s="3"/>
      <c r="C637" s="3"/>
    </row>
    <row r="638" spans="2:3" ht="12.75" customHeight="1" x14ac:dyDescent="0.15">
      <c r="B638" s="3"/>
      <c r="C638" s="3"/>
    </row>
    <row r="639" spans="2:3" ht="12.75" customHeight="1" x14ac:dyDescent="0.15">
      <c r="B639" s="3"/>
      <c r="C639" s="3"/>
    </row>
    <row r="640" spans="2:3" ht="12.75" customHeight="1" x14ac:dyDescent="0.15">
      <c r="B640" s="3"/>
      <c r="C640" s="3"/>
    </row>
    <row r="641" spans="2:3" ht="12.75" customHeight="1" x14ac:dyDescent="0.15">
      <c r="B641" s="3"/>
      <c r="C641" s="3"/>
    </row>
    <row r="642" spans="2:3" ht="12.75" customHeight="1" x14ac:dyDescent="0.15">
      <c r="B642" s="3"/>
      <c r="C642" s="3"/>
    </row>
    <row r="643" spans="2:3" ht="12.75" customHeight="1" x14ac:dyDescent="0.15">
      <c r="B643" s="3"/>
      <c r="C643" s="3"/>
    </row>
    <row r="644" spans="2:3" ht="12.75" customHeight="1" x14ac:dyDescent="0.15">
      <c r="B644" s="3"/>
      <c r="C644" s="3"/>
    </row>
    <row r="645" spans="2:3" ht="12.75" customHeight="1" x14ac:dyDescent="0.15">
      <c r="B645" s="3"/>
      <c r="C645" s="3"/>
    </row>
    <row r="646" spans="2:3" ht="12.75" customHeight="1" x14ac:dyDescent="0.15">
      <c r="B646" s="3"/>
      <c r="C646" s="3"/>
    </row>
    <row r="647" spans="2:3" ht="12.75" customHeight="1" x14ac:dyDescent="0.15">
      <c r="B647" s="3"/>
      <c r="C647" s="3"/>
    </row>
    <row r="648" spans="2:3" ht="12.75" customHeight="1" x14ac:dyDescent="0.15">
      <c r="B648" s="3"/>
      <c r="C648" s="3"/>
    </row>
    <row r="649" spans="2:3" ht="12.75" customHeight="1" x14ac:dyDescent="0.15">
      <c r="B649" s="3"/>
      <c r="C649" s="3"/>
    </row>
    <row r="650" spans="2:3" ht="12.75" customHeight="1" x14ac:dyDescent="0.15">
      <c r="B650" s="3"/>
      <c r="C650" s="3"/>
    </row>
    <row r="651" spans="2:3" ht="12.75" customHeight="1" x14ac:dyDescent="0.15">
      <c r="B651" s="3"/>
      <c r="C651" s="3"/>
    </row>
    <row r="652" spans="2:3" ht="12.75" customHeight="1" x14ac:dyDescent="0.15">
      <c r="B652" s="3"/>
      <c r="C652" s="3"/>
    </row>
    <row r="653" spans="2:3" ht="12.75" customHeight="1" x14ac:dyDescent="0.15">
      <c r="B653" s="3"/>
      <c r="C653" s="3"/>
    </row>
    <row r="654" spans="2:3" ht="12.75" customHeight="1" x14ac:dyDescent="0.15">
      <c r="B654" s="3"/>
      <c r="C654" s="3"/>
    </row>
    <row r="655" spans="2:3" ht="12.75" customHeight="1" x14ac:dyDescent="0.15">
      <c r="B655" s="3"/>
      <c r="C655" s="3"/>
    </row>
    <row r="656" spans="2:3" ht="12.75" customHeight="1" x14ac:dyDescent="0.15">
      <c r="B656" s="3"/>
      <c r="C656" s="3"/>
    </row>
    <row r="657" spans="2:3" ht="12.75" customHeight="1" x14ac:dyDescent="0.15">
      <c r="B657" s="3"/>
      <c r="C657" s="3"/>
    </row>
    <row r="658" spans="2:3" ht="12.75" customHeight="1" x14ac:dyDescent="0.15">
      <c r="B658" s="3"/>
      <c r="C658" s="3"/>
    </row>
    <row r="659" spans="2:3" ht="12.75" customHeight="1" x14ac:dyDescent="0.15">
      <c r="B659" s="3"/>
      <c r="C659" s="3"/>
    </row>
    <row r="660" spans="2:3" ht="12.75" customHeight="1" x14ac:dyDescent="0.15">
      <c r="B660" s="3"/>
      <c r="C660" s="3"/>
    </row>
    <row r="661" spans="2:3" ht="12.75" customHeight="1" x14ac:dyDescent="0.15">
      <c r="B661" s="3"/>
      <c r="C661" s="3"/>
    </row>
    <row r="662" spans="2:3" ht="12.75" customHeight="1" x14ac:dyDescent="0.15">
      <c r="B662" s="3"/>
      <c r="C662" s="3"/>
    </row>
    <row r="663" spans="2:3" ht="12.75" customHeight="1" x14ac:dyDescent="0.15">
      <c r="B663" s="3"/>
      <c r="C663" s="3"/>
    </row>
    <row r="664" spans="2:3" ht="12.75" customHeight="1" x14ac:dyDescent="0.15">
      <c r="B664" s="3"/>
      <c r="C664" s="3"/>
    </row>
    <row r="665" spans="2:3" ht="12.75" customHeight="1" x14ac:dyDescent="0.15">
      <c r="B665" s="3"/>
      <c r="C665" s="3"/>
    </row>
    <row r="666" spans="2:3" ht="12.75" customHeight="1" x14ac:dyDescent="0.15">
      <c r="B666" s="3"/>
      <c r="C666" s="3"/>
    </row>
    <row r="667" spans="2:3" ht="12.75" customHeight="1" x14ac:dyDescent="0.15">
      <c r="B667" s="3"/>
      <c r="C667" s="3"/>
    </row>
    <row r="668" spans="2:3" ht="12.75" customHeight="1" x14ac:dyDescent="0.15">
      <c r="B668" s="3"/>
      <c r="C668" s="3"/>
    </row>
    <row r="669" spans="2:3" ht="12.75" customHeight="1" x14ac:dyDescent="0.15">
      <c r="B669" s="3"/>
      <c r="C669" s="3"/>
    </row>
    <row r="670" spans="2:3" ht="12.75" customHeight="1" x14ac:dyDescent="0.15">
      <c r="B670" s="3"/>
      <c r="C670" s="3"/>
    </row>
    <row r="671" spans="2:3" ht="12.75" customHeight="1" x14ac:dyDescent="0.15">
      <c r="B671" s="3"/>
      <c r="C671" s="3"/>
    </row>
    <row r="672" spans="2:3" ht="12.75" customHeight="1" x14ac:dyDescent="0.15">
      <c r="B672" s="3"/>
      <c r="C672" s="3"/>
    </row>
    <row r="673" spans="2:3" ht="12.75" customHeight="1" x14ac:dyDescent="0.15">
      <c r="B673" s="3"/>
      <c r="C673" s="3"/>
    </row>
    <row r="674" spans="2:3" ht="12.75" customHeight="1" x14ac:dyDescent="0.15">
      <c r="B674" s="3"/>
      <c r="C674" s="3"/>
    </row>
    <row r="675" spans="2:3" ht="12.75" customHeight="1" x14ac:dyDescent="0.15">
      <c r="B675" s="3"/>
      <c r="C675" s="3"/>
    </row>
    <row r="676" spans="2:3" ht="12.75" customHeight="1" x14ac:dyDescent="0.15">
      <c r="B676" s="3"/>
      <c r="C676" s="3"/>
    </row>
    <row r="677" spans="2:3" ht="12.75" customHeight="1" x14ac:dyDescent="0.15">
      <c r="B677" s="3"/>
      <c r="C677" s="3"/>
    </row>
    <row r="678" spans="2:3" ht="12.75" customHeight="1" x14ac:dyDescent="0.15">
      <c r="B678" s="3"/>
      <c r="C678" s="3"/>
    </row>
    <row r="679" spans="2:3" ht="12.75" customHeight="1" x14ac:dyDescent="0.15">
      <c r="B679" s="3"/>
      <c r="C679" s="3"/>
    </row>
    <row r="680" spans="2:3" ht="12.75" customHeight="1" x14ac:dyDescent="0.15">
      <c r="B680" s="3"/>
      <c r="C680" s="3"/>
    </row>
    <row r="681" spans="2:3" ht="12.75" customHeight="1" x14ac:dyDescent="0.15">
      <c r="B681" s="3"/>
      <c r="C681" s="3"/>
    </row>
    <row r="682" spans="2:3" ht="12.75" customHeight="1" x14ac:dyDescent="0.15">
      <c r="B682" s="3"/>
      <c r="C682" s="3"/>
    </row>
    <row r="683" spans="2:3" ht="12.75" customHeight="1" x14ac:dyDescent="0.15">
      <c r="B683" s="3"/>
      <c r="C683" s="3"/>
    </row>
    <row r="684" spans="2:3" ht="12.75" customHeight="1" x14ac:dyDescent="0.15">
      <c r="B684" s="3"/>
      <c r="C684" s="3"/>
    </row>
    <row r="685" spans="2:3" ht="12.75" customHeight="1" x14ac:dyDescent="0.15">
      <c r="B685" s="3"/>
      <c r="C685" s="3"/>
    </row>
    <row r="686" spans="2:3" ht="12.75" customHeight="1" x14ac:dyDescent="0.15">
      <c r="B686" s="3"/>
      <c r="C686" s="3"/>
    </row>
    <row r="687" spans="2:3" ht="12.75" customHeight="1" x14ac:dyDescent="0.15">
      <c r="B687" s="3"/>
      <c r="C687" s="3"/>
    </row>
    <row r="688" spans="2:3" ht="12.75" customHeight="1" x14ac:dyDescent="0.15">
      <c r="B688" s="3"/>
      <c r="C688" s="3"/>
    </row>
    <row r="689" spans="2:3" ht="12.75" customHeight="1" x14ac:dyDescent="0.15">
      <c r="B689" s="3"/>
      <c r="C689" s="3"/>
    </row>
    <row r="690" spans="2:3" ht="12.75" customHeight="1" x14ac:dyDescent="0.15">
      <c r="B690" s="3"/>
      <c r="C690" s="3"/>
    </row>
    <row r="691" spans="2:3" ht="12.75" customHeight="1" x14ac:dyDescent="0.15">
      <c r="B691" s="3"/>
      <c r="C691" s="3"/>
    </row>
    <row r="692" spans="2:3" ht="12.75" customHeight="1" x14ac:dyDescent="0.15">
      <c r="B692" s="3"/>
      <c r="C692" s="3"/>
    </row>
    <row r="693" spans="2:3" ht="12.75" customHeight="1" x14ac:dyDescent="0.15">
      <c r="B693" s="3"/>
      <c r="C693" s="3"/>
    </row>
    <row r="694" spans="2:3" ht="12.75" customHeight="1" x14ac:dyDescent="0.15">
      <c r="B694" s="3"/>
      <c r="C694" s="3"/>
    </row>
    <row r="695" spans="2:3" ht="12.75" customHeight="1" x14ac:dyDescent="0.15">
      <c r="B695" s="3"/>
      <c r="C695" s="3"/>
    </row>
    <row r="696" spans="2:3" ht="12.75" customHeight="1" x14ac:dyDescent="0.15">
      <c r="B696" s="3"/>
      <c r="C696" s="3"/>
    </row>
    <row r="697" spans="2:3" ht="12.75" customHeight="1" x14ac:dyDescent="0.15">
      <c r="B697" s="3"/>
      <c r="C697" s="3"/>
    </row>
    <row r="698" spans="2:3" ht="12.75" customHeight="1" x14ac:dyDescent="0.15">
      <c r="B698" s="3"/>
      <c r="C698" s="3"/>
    </row>
    <row r="699" spans="2:3" ht="12.75" customHeight="1" x14ac:dyDescent="0.15">
      <c r="B699" s="3"/>
      <c r="C699" s="3"/>
    </row>
    <row r="700" spans="2:3" ht="12.75" customHeight="1" x14ac:dyDescent="0.15">
      <c r="B700" s="3"/>
      <c r="C700" s="3"/>
    </row>
    <row r="701" spans="2:3" ht="12.75" customHeight="1" x14ac:dyDescent="0.15">
      <c r="B701" s="3"/>
      <c r="C701" s="3"/>
    </row>
    <row r="702" spans="2:3" ht="12.75" customHeight="1" x14ac:dyDescent="0.15">
      <c r="B702" s="3"/>
      <c r="C702" s="3"/>
    </row>
    <row r="703" spans="2:3" ht="12.75" customHeight="1" x14ac:dyDescent="0.15">
      <c r="B703" s="3"/>
      <c r="C703" s="3"/>
    </row>
    <row r="704" spans="2:3" ht="12.75" customHeight="1" x14ac:dyDescent="0.15">
      <c r="B704" s="3"/>
      <c r="C704" s="3"/>
    </row>
    <row r="705" spans="2:3" ht="12.75" customHeight="1" x14ac:dyDescent="0.15">
      <c r="B705" s="3"/>
      <c r="C705" s="3"/>
    </row>
    <row r="706" spans="2:3" ht="12.75" customHeight="1" x14ac:dyDescent="0.15">
      <c r="B706" s="3"/>
      <c r="C706" s="3"/>
    </row>
    <row r="707" spans="2:3" ht="12.75" customHeight="1" x14ac:dyDescent="0.15">
      <c r="B707" s="3"/>
      <c r="C707" s="3"/>
    </row>
    <row r="708" spans="2:3" ht="12.75" customHeight="1" x14ac:dyDescent="0.15">
      <c r="B708" s="3"/>
      <c r="C708" s="3"/>
    </row>
    <row r="709" spans="2:3" ht="12.75" customHeight="1" x14ac:dyDescent="0.15">
      <c r="B709" s="3"/>
      <c r="C709" s="3"/>
    </row>
    <row r="710" spans="2:3" ht="12.75" customHeight="1" x14ac:dyDescent="0.15">
      <c r="B710" s="3"/>
      <c r="C710" s="3"/>
    </row>
    <row r="711" spans="2:3" ht="12.75" customHeight="1" x14ac:dyDescent="0.15">
      <c r="B711" s="3"/>
      <c r="C711" s="3"/>
    </row>
    <row r="712" spans="2:3" ht="12.75" customHeight="1" x14ac:dyDescent="0.15">
      <c r="B712" s="3"/>
      <c r="C712" s="3"/>
    </row>
    <row r="713" spans="2:3" ht="12.75" customHeight="1" x14ac:dyDescent="0.15">
      <c r="B713" s="3"/>
      <c r="C713" s="3"/>
    </row>
    <row r="714" spans="2:3" ht="12.75" customHeight="1" x14ac:dyDescent="0.15">
      <c r="B714" s="3"/>
      <c r="C714" s="3"/>
    </row>
    <row r="715" spans="2:3" ht="12.75" customHeight="1" x14ac:dyDescent="0.15">
      <c r="B715" s="3"/>
      <c r="C715" s="3"/>
    </row>
    <row r="716" spans="2:3" ht="12.75" customHeight="1" x14ac:dyDescent="0.15">
      <c r="B716" s="3"/>
      <c r="C716" s="3"/>
    </row>
    <row r="717" spans="2:3" ht="12.75" customHeight="1" x14ac:dyDescent="0.15">
      <c r="B717" s="3"/>
      <c r="C717" s="3"/>
    </row>
    <row r="718" spans="2:3" ht="12.75" customHeight="1" x14ac:dyDescent="0.15">
      <c r="B718" s="3"/>
      <c r="C718" s="3"/>
    </row>
    <row r="719" spans="2:3" ht="12.75" customHeight="1" x14ac:dyDescent="0.15">
      <c r="B719" s="3"/>
      <c r="C719" s="3"/>
    </row>
    <row r="720" spans="2:3" ht="12.75" customHeight="1" x14ac:dyDescent="0.15">
      <c r="B720" s="3"/>
      <c r="C720" s="3"/>
    </row>
    <row r="721" spans="2:3" ht="12.75" customHeight="1" x14ac:dyDescent="0.15">
      <c r="B721" s="3"/>
      <c r="C721" s="3"/>
    </row>
    <row r="722" spans="2:3" ht="12.75" customHeight="1" x14ac:dyDescent="0.15">
      <c r="B722" s="3"/>
      <c r="C722" s="3"/>
    </row>
    <row r="723" spans="2:3" ht="12.75" customHeight="1" x14ac:dyDescent="0.15">
      <c r="B723" s="3"/>
      <c r="C723" s="3"/>
    </row>
    <row r="724" spans="2:3" ht="12.75" customHeight="1" x14ac:dyDescent="0.15">
      <c r="B724" s="3"/>
      <c r="C724" s="3"/>
    </row>
    <row r="725" spans="2:3" ht="12.75" customHeight="1" x14ac:dyDescent="0.15">
      <c r="B725" s="3"/>
      <c r="C725" s="3"/>
    </row>
    <row r="726" spans="2:3" ht="12.75" customHeight="1" x14ac:dyDescent="0.15">
      <c r="B726" s="3"/>
      <c r="C726" s="3"/>
    </row>
    <row r="727" spans="2:3" ht="12.75" customHeight="1" x14ac:dyDescent="0.15">
      <c r="B727" s="3"/>
      <c r="C727" s="3"/>
    </row>
    <row r="728" spans="2:3" ht="12.75" customHeight="1" x14ac:dyDescent="0.15">
      <c r="B728" s="3"/>
      <c r="C728" s="3"/>
    </row>
    <row r="729" spans="2:3" ht="12.75" customHeight="1" x14ac:dyDescent="0.15">
      <c r="B729" s="3"/>
      <c r="C729" s="3"/>
    </row>
    <row r="730" spans="2:3" ht="12.75" customHeight="1" x14ac:dyDescent="0.15">
      <c r="B730" s="3"/>
      <c r="C730" s="3"/>
    </row>
    <row r="731" spans="2:3" ht="12.75" customHeight="1" x14ac:dyDescent="0.15">
      <c r="B731" s="3"/>
      <c r="C731" s="3"/>
    </row>
    <row r="732" spans="2:3" ht="12.75" customHeight="1" x14ac:dyDescent="0.15">
      <c r="B732" s="3"/>
      <c r="C732" s="3"/>
    </row>
    <row r="733" spans="2:3" ht="12.75" customHeight="1" x14ac:dyDescent="0.15">
      <c r="B733" s="3"/>
      <c r="C733" s="3"/>
    </row>
    <row r="734" spans="2:3" ht="12.75" customHeight="1" x14ac:dyDescent="0.15">
      <c r="B734" s="3"/>
      <c r="C734" s="3"/>
    </row>
    <row r="735" spans="2:3" ht="12.75" customHeight="1" x14ac:dyDescent="0.15">
      <c r="B735" s="3"/>
      <c r="C735" s="3"/>
    </row>
    <row r="736" spans="2:3" ht="12.75" customHeight="1" x14ac:dyDescent="0.15">
      <c r="B736" s="3"/>
      <c r="C736" s="3"/>
    </row>
    <row r="737" spans="2:3" ht="12.75" customHeight="1" x14ac:dyDescent="0.15">
      <c r="B737" s="3"/>
      <c r="C737" s="3"/>
    </row>
    <row r="738" spans="2:3" ht="12.75" customHeight="1" x14ac:dyDescent="0.15">
      <c r="B738" s="3"/>
      <c r="C738" s="3"/>
    </row>
    <row r="739" spans="2:3" ht="12.75" customHeight="1" x14ac:dyDescent="0.15">
      <c r="B739" s="3"/>
      <c r="C739" s="3"/>
    </row>
    <row r="740" spans="2:3" ht="12.75" customHeight="1" x14ac:dyDescent="0.15">
      <c r="B740" s="3"/>
      <c r="C740" s="3"/>
    </row>
    <row r="741" spans="2:3" ht="12.75" customHeight="1" x14ac:dyDescent="0.15">
      <c r="B741" s="3"/>
      <c r="C741" s="3"/>
    </row>
    <row r="742" spans="2:3" ht="12.75" customHeight="1" x14ac:dyDescent="0.15">
      <c r="B742" s="3"/>
      <c r="C742" s="3"/>
    </row>
    <row r="743" spans="2:3" ht="12.75" customHeight="1" x14ac:dyDescent="0.15">
      <c r="B743" s="3"/>
      <c r="C743" s="3"/>
    </row>
    <row r="744" spans="2:3" ht="12.75" customHeight="1" x14ac:dyDescent="0.15">
      <c r="B744" s="3"/>
      <c r="C744" s="3"/>
    </row>
    <row r="745" spans="2:3" ht="12.75" customHeight="1" x14ac:dyDescent="0.15">
      <c r="B745" s="3"/>
      <c r="C745" s="3"/>
    </row>
    <row r="746" spans="2:3" ht="12.75" customHeight="1" x14ac:dyDescent="0.15">
      <c r="B746" s="3"/>
      <c r="C746" s="3"/>
    </row>
    <row r="747" spans="2:3" ht="12.75" customHeight="1" x14ac:dyDescent="0.15">
      <c r="B747" s="3"/>
      <c r="C747" s="3"/>
    </row>
    <row r="748" spans="2:3" ht="12.75" customHeight="1" x14ac:dyDescent="0.15">
      <c r="B748" s="3"/>
      <c r="C748" s="3"/>
    </row>
    <row r="749" spans="2:3" ht="12.75" customHeight="1" x14ac:dyDescent="0.15">
      <c r="B749" s="3"/>
      <c r="C749" s="3"/>
    </row>
    <row r="750" spans="2:3" ht="12.75" customHeight="1" x14ac:dyDescent="0.15">
      <c r="B750" s="3"/>
      <c r="C750" s="3"/>
    </row>
    <row r="751" spans="2:3" ht="12.75" customHeight="1" x14ac:dyDescent="0.15">
      <c r="B751" s="3"/>
      <c r="C751" s="3"/>
    </row>
    <row r="752" spans="2:3" ht="12.75" customHeight="1" x14ac:dyDescent="0.15">
      <c r="B752" s="3"/>
      <c r="C752" s="3"/>
    </row>
    <row r="753" spans="2:3" ht="12.75" customHeight="1" x14ac:dyDescent="0.15">
      <c r="B753" s="3"/>
      <c r="C753" s="3"/>
    </row>
    <row r="754" spans="2:3" ht="12.75" customHeight="1" x14ac:dyDescent="0.15">
      <c r="B754" s="3"/>
      <c r="C754" s="3"/>
    </row>
    <row r="755" spans="2:3" ht="12.75" customHeight="1" x14ac:dyDescent="0.15">
      <c r="B755" s="3"/>
      <c r="C755" s="3"/>
    </row>
    <row r="756" spans="2:3" ht="12.75" customHeight="1" x14ac:dyDescent="0.15">
      <c r="B756" s="3"/>
      <c r="C756" s="3"/>
    </row>
    <row r="757" spans="2:3" ht="12.75" customHeight="1" x14ac:dyDescent="0.15">
      <c r="B757" s="3"/>
      <c r="C757" s="3"/>
    </row>
    <row r="758" spans="2:3" ht="12.75" customHeight="1" x14ac:dyDescent="0.15">
      <c r="B758" s="3"/>
      <c r="C758" s="3"/>
    </row>
    <row r="759" spans="2:3" ht="12.75" customHeight="1" x14ac:dyDescent="0.15">
      <c r="B759" s="3"/>
      <c r="C759" s="3"/>
    </row>
    <row r="760" spans="2:3" ht="12.75" customHeight="1" x14ac:dyDescent="0.15">
      <c r="B760" s="3"/>
      <c r="C760" s="3"/>
    </row>
    <row r="761" spans="2:3" ht="12.75" customHeight="1" x14ac:dyDescent="0.15">
      <c r="B761" s="3"/>
      <c r="C761" s="3"/>
    </row>
    <row r="762" spans="2:3" ht="12.75" customHeight="1" x14ac:dyDescent="0.15">
      <c r="B762" s="3"/>
      <c r="C762" s="3"/>
    </row>
    <row r="763" spans="2:3" ht="12.75" customHeight="1" x14ac:dyDescent="0.15">
      <c r="B763" s="3"/>
      <c r="C763" s="3"/>
    </row>
    <row r="764" spans="2:3" ht="12.75" customHeight="1" x14ac:dyDescent="0.15">
      <c r="B764" s="3"/>
      <c r="C764" s="3"/>
    </row>
    <row r="765" spans="2:3" ht="12.75" customHeight="1" x14ac:dyDescent="0.15">
      <c r="B765" s="3"/>
      <c r="C765" s="3"/>
    </row>
    <row r="766" spans="2:3" ht="12.75" customHeight="1" x14ac:dyDescent="0.15">
      <c r="B766" s="3"/>
      <c r="C766" s="3"/>
    </row>
    <row r="767" spans="2:3" ht="12.75" customHeight="1" x14ac:dyDescent="0.15">
      <c r="B767" s="3"/>
      <c r="C767" s="3"/>
    </row>
    <row r="768" spans="2:3" ht="12.75" customHeight="1" x14ac:dyDescent="0.15">
      <c r="B768" s="3"/>
      <c r="C768" s="3"/>
    </row>
    <row r="769" spans="2:3" ht="12.75" customHeight="1" x14ac:dyDescent="0.15">
      <c r="B769" s="3"/>
      <c r="C769" s="3"/>
    </row>
    <row r="770" spans="2:3" ht="12.75" customHeight="1" x14ac:dyDescent="0.15">
      <c r="B770" s="3"/>
      <c r="C770" s="3"/>
    </row>
    <row r="771" spans="2:3" ht="12.75" customHeight="1" x14ac:dyDescent="0.15">
      <c r="B771" s="3"/>
      <c r="C771" s="3"/>
    </row>
    <row r="772" spans="2:3" ht="12.75" customHeight="1" x14ac:dyDescent="0.15">
      <c r="B772" s="3"/>
      <c r="C772" s="3"/>
    </row>
    <row r="773" spans="2:3" ht="12.75" customHeight="1" x14ac:dyDescent="0.15">
      <c r="B773" s="3"/>
      <c r="C773" s="3"/>
    </row>
    <row r="774" spans="2:3" ht="12.75" customHeight="1" x14ac:dyDescent="0.15">
      <c r="B774" s="3"/>
      <c r="C774" s="3"/>
    </row>
    <row r="775" spans="2:3" ht="12.75" customHeight="1" x14ac:dyDescent="0.15">
      <c r="B775" s="3"/>
      <c r="C775" s="3"/>
    </row>
    <row r="776" spans="2:3" ht="12.75" customHeight="1" x14ac:dyDescent="0.15">
      <c r="B776" s="3"/>
      <c r="C776" s="3"/>
    </row>
    <row r="777" spans="2:3" ht="12.75" customHeight="1" x14ac:dyDescent="0.15">
      <c r="B777" s="3"/>
      <c r="C777" s="3"/>
    </row>
    <row r="778" spans="2:3" ht="12.75" customHeight="1" x14ac:dyDescent="0.15">
      <c r="B778" s="3"/>
      <c r="C778" s="3"/>
    </row>
    <row r="779" spans="2:3" ht="12.75" customHeight="1" x14ac:dyDescent="0.15">
      <c r="B779" s="3"/>
      <c r="C779" s="3"/>
    </row>
    <row r="780" spans="2:3" ht="12.75" customHeight="1" x14ac:dyDescent="0.15">
      <c r="B780" s="3"/>
      <c r="C780" s="3"/>
    </row>
    <row r="781" spans="2:3" ht="12.75" customHeight="1" x14ac:dyDescent="0.15">
      <c r="B781" s="3"/>
      <c r="C781" s="3"/>
    </row>
    <row r="782" spans="2:3" ht="12.75" customHeight="1" x14ac:dyDescent="0.15">
      <c r="B782" s="3"/>
      <c r="C782" s="3"/>
    </row>
    <row r="783" spans="2:3" ht="12.75" customHeight="1" x14ac:dyDescent="0.15">
      <c r="B783" s="3"/>
      <c r="C783" s="3"/>
    </row>
    <row r="784" spans="2:3" ht="12.75" customHeight="1" x14ac:dyDescent="0.15">
      <c r="B784" s="3"/>
      <c r="C784" s="3"/>
    </row>
    <row r="785" spans="2:3" ht="12.75" customHeight="1" x14ac:dyDescent="0.15">
      <c r="B785" s="3"/>
      <c r="C785" s="3"/>
    </row>
    <row r="786" spans="2:3" ht="12.75" customHeight="1" x14ac:dyDescent="0.15">
      <c r="B786" s="3"/>
      <c r="C786" s="3"/>
    </row>
    <row r="787" spans="2:3" ht="12.75" customHeight="1" x14ac:dyDescent="0.15">
      <c r="B787" s="3"/>
      <c r="C787" s="3"/>
    </row>
    <row r="788" spans="2:3" ht="12.75" customHeight="1" x14ac:dyDescent="0.15">
      <c r="B788" s="3"/>
      <c r="C788" s="3"/>
    </row>
    <row r="789" spans="2:3" ht="12.75" customHeight="1" x14ac:dyDescent="0.15">
      <c r="B789" s="3"/>
      <c r="C789" s="3"/>
    </row>
    <row r="790" spans="2:3" ht="12.75" customHeight="1" x14ac:dyDescent="0.15">
      <c r="B790" s="3"/>
      <c r="C790" s="3"/>
    </row>
    <row r="791" spans="2:3" ht="12.75" customHeight="1" x14ac:dyDescent="0.15">
      <c r="B791" s="3"/>
      <c r="C791" s="3"/>
    </row>
    <row r="792" spans="2:3" ht="12.75" customHeight="1" x14ac:dyDescent="0.15">
      <c r="B792" s="3"/>
      <c r="C792" s="3"/>
    </row>
    <row r="793" spans="2:3" ht="12.75" customHeight="1" x14ac:dyDescent="0.15">
      <c r="B793" s="3"/>
      <c r="C793" s="3"/>
    </row>
    <row r="794" spans="2:3" ht="12.75" customHeight="1" x14ac:dyDescent="0.15">
      <c r="B794" s="3"/>
      <c r="C794" s="3"/>
    </row>
    <row r="795" spans="2:3" ht="12.75" customHeight="1" x14ac:dyDescent="0.15">
      <c r="B795" s="3"/>
      <c r="C795" s="3"/>
    </row>
    <row r="796" spans="2:3" ht="12.75" customHeight="1" x14ac:dyDescent="0.15">
      <c r="B796" s="3"/>
      <c r="C796" s="3"/>
    </row>
    <row r="797" spans="2:3" ht="12.75" customHeight="1" x14ac:dyDescent="0.15">
      <c r="B797" s="3"/>
      <c r="C797" s="3"/>
    </row>
    <row r="798" spans="2:3" ht="12.75" customHeight="1" x14ac:dyDescent="0.15">
      <c r="B798" s="3"/>
      <c r="C798" s="3"/>
    </row>
    <row r="799" spans="2:3" ht="12.75" customHeight="1" x14ac:dyDescent="0.15">
      <c r="B799" s="3"/>
      <c r="C799" s="3"/>
    </row>
    <row r="800" spans="2:3" ht="12.75" customHeight="1" x14ac:dyDescent="0.15">
      <c r="B800" s="3"/>
      <c r="C800" s="3"/>
    </row>
    <row r="801" spans="2:3" ht="12.75" customHeight="1" x14ac:dyDescent="0.15">
      <c r="B801" s="3"/>
      <c r="C801" s="3"/>
    </row>
    <row r="802" spans="2:3" ht="12.75" customHeight="1" x14ac:dyDescent="0.15">
      <c r="B802" s="3"/>
      <c r="C802" s="3"/>
    </row>
    <row r="803" spans="2:3" ht="12.75" customHeight="1" x14ac:dyDescent="0.15">
      <c r="B803" s="3"/>
      <c r="C803" s="3"/>
    </row>
    <row r="804" spans="2:3" ht="12.75" customHeight="1" x14ac:dyDescent="0.15">
      <c r="B804" s="3"/>
      <c r="C804" s="3"/>
    </row>
    <row r="805" spans="2:3" ht="12.75" customHeight="1" x14ac:dyDescent="0.15">
      <c r="B805" s="3"/>
      <c r="C805" s="3"/>
    </row>
    <row r="806" spans="2:3" ht="12.75" customHeight="1" x14ac:dyDescent="0.15">
      <c r="B806" s="3"/>
      <c r="C806" s="3"/>
    </row>
    <row r="807" spans="2:3" ht="12.75" customHeight="1" x14ac:dyDescent="0.15">
      <c r="B807" s="3"/>
      <c r="C807" s="3"/>
    </row>
    <row r="808" spans="2:3" ht="12.75" customHeight="1" x14ac:dyDescent="0.15">
      <c r="B808" s="3"/>
      <c r="C808" s="3"/>
    </row>
    <row r="809" spans="2:3" ht="12.75" customHeight="1" x14ac:dyDescent="0.15">
      <c r="B809" s="3"/>
      <c r="C809" s="3"/>
    </row>
    <row r="810" spans="2:3" ht="12.75" customHeight="1" x14ac:dyDescent="0.15">
      <c r="B810" s="3"/>
      <c r="C810" s="3"/>
    </row>
    <row r="811" spans="2:3" ht="12.75" customHeight="1" x14ac:dyDescent="0.15">
      <c r="B811" s="3"/>
      <c r="C811" s="3"/>
    </row>
    <row r="812" spans="2:3" ht="12.75" customHeight="1" x14ac:dyDescent="0.15">
      <c r="B812" s="3"/>
      <c r="C812" s="3"/>
    </row>
    <row r="813" spans="2:3" ht="12.75" customHeight="1" x14ac:dyDescent="0.15">
      <c r="B813" s="3"/>
      <c r="C813" s="3"/>
    </row>
    <row r="814" spans="2:3" ht="12.75" customHeight="1" x14ac:dyDescent="0.15">
      <c r="B814" s="3"/>
      <c r="C814" s="3"/>
    </row>
    <row r="815" spans="2:3" ht="12.75" customHeight="1" x14ac:dyDescent="0.15">
      <c r="B815" s="3"/>
      <c r="C815" s="3"/>
    </row>
    <row r="816" spans="2:3" ht="12.75" customHeight="1" x14ac:dyDescent="0.15">
      <c r="B816" s="3"/>
      <c r="C816" s="3"/>
    </row>
    <row r="817" spans="2:3" ht="12.75" customHeight="1" x14ac:dyDescent="0.15">
      <c r="B817" s="3"/>
      <c r="C817" s="3"/>
    </row>
    <row r="818" spans="2:3" ht="12.75" customHeight="1" x14ac:dyDescent="0.15">
      <c r="B818" s="3"/>
      <c r="C818" s="3"/>
    </row>
    <row r="819" spans="2:3" ht="12.75" customHeight="1" x14ac:dyDescent="0.15">
      <c r="B819" s="3"/>
      <c r="C819" s="3"/>
    </row>
    <row r="820" spans="2:3" ht="12.75" customHeight="1" x14ac:dyDescent="0.15">
      <c r="B820" s="3"/>
      <c r="C820" s="3"/>
    </row>
    <row r="821" spans="2:3" ht="12.75" customHeight="1" x14ac:dyDescent="0.15">
      <c r="B821" s="3"/>
      <c r="C821" s="3"/>
    </row>
    <row r="822" spans="2:3" ht="12.75" customHeight="1" x14ac:dyDescent="0.15">
      <c r="B822" s="3"/>
      <c r="C822" s="3"/>
    </row>
    <row r="823" spans="2:3" ht="12.75" customHeight="1" x14ac:dyDescent="0.15">
      <c r="B823" s="3"/>
      <c r="C823" s="3"/>
    </row>
    <row r="824" spans="2:3" ht="12.75" customHeight="1" x14ac:dyDescent="0.15">
      <c r="B824" s="3"/>
      <c r="C824" s="3"/>
    </row>
    <row r="825" spans="2:3" ht="12.75" customHeight="1" x14ac:dyDescent="0.15">
      <c r="B825" s="3"/>
      <c r="C825" s="3"/>
    </row>
    <row r="826" spans="2:3" ht="12.75" customHeight="1" x14ac:dyDescent="0.15">
      <c r="B826" s="3"/>
      <c r="C826" s="3"/>
    </row>
    <row r="827" spans="2:3" ht="12.75" customHeight="1" x14ac:dyDescent="0.15">
      <c r="B827" s="3"/>
      <c r="C827" s="3"/>
    </row>
    <row r="828" spans="2:3" ht="12.75" customHeight="1" x14ac:dyDescent="0.15">
      <c r="B828" s="3"/>
      <c r="C828" s="3"/>
    </row>
    <row r="829" spans="2:3" ht="12.75" customHeight="1" x14ac:dyDescent="0.15">
      <c r="B829" s="3"/>
      <c r="C829" s="3"/>
    </row>
    <row r="830" spans="2:3" ht="12.75" customHeight="1" x14ac:dyDescent="0.15">
      <c r="B830" s="3"/>
      <c r="C830" s="3"/>
    </row>
    <row r="831" spans="2:3" ht="12.75" customHeight="1" x14ac:dyDescent="0.15">
      <c r="B831" s="3"/>
      <c r="C831" s="3"/>
    </row>
    <row r="832" spans="2:3" ht="12.75" customHeight="1" x14ac:dyDescent="0.15">
      <c r="B832" s="3"/>
      <c r="C832" s="3"/>
    </row>
    <row r="833" spans="2:3" ht="12.75" customHeight="1" x14ac:dyDescent="0.15">
      <c r="B833" s="3"/>
      <c r="C833" s="3"/>
    </row>
    <row r="834" spans="2:3" ht="12.75" customHeight="1" x14ac:dyDescent="0.15">
      <c r="B834" s="3"/>
      <c r="C834" s="3"/>
    </row>
    <row r="835" spans="2:3" ht="12.75" customHeight="1" x14ac:dyDescent="0.15">
      <c r="B835" s="3"/>
      <c r="C835" s="3"/>
    </row>
    <row r="836" spans="2:3" ht="12.75" customHeight="1" x14ac:dyDescent="0.15">
      <c r="B836" s="3"/>
      <c r="C836" s="3"/>
    </row>
    <row r="837" spans="2:3" ht="12.75" customHeight="1" x14ac:dyDescent="0.15">
      <c r="B837" s="3"/>
      <c r="C837" s="3"/>
    </row>
    <row r="838" spans="2:3" ht="12.75" customHeight="1" x14ac:dyDescent="0.15">
      <c r="B838" s="3"/>
      <c r="C838" s="3"/>
    </row>
    <row r="839" spans="2:3" ht="12.75" customHeight="1" x14ac:dyDescent="0.15">
      <c r="B839" s="3"/>
      <c r="C839" s="3"/>
    </row>
    <row r="840" spans="2:3" ht="12.75" customHeight="1" x14ac:dyDescent="0.15">
      <c r="B840" s="3"/>
      <c r="C840" s="3"/>
    </row>
    <row r="841" spans="2:3" ht="12.75" customHeight="1" x14ac:dyDescent="0.15">
      <c r="B841" s="3"/>
      <c r="C841" s="3"/>
    </row>
    <row r="842" spans="2:3" ht="12.75" customHeight="1" x14ac:dyDescent="0.15">
      <c r="B842" s="3"/>
      <c r="C842" s="3"/>
    </row>
    <row r="843" spans="2:3" ht="12.75" customHeight="1" x14ac:dyDescent="0.15">
      <c r="B843" s="3"/>
      <c r="C843" s="3"/>
    </row>
    <row r="844" spans="2:3" ht="12.75" customHeight="1" x14ac:dyDescent="0.15">
      <c r="B844" s="3"/>
      <c r="C844" s="3"/>
    </row>
    <row r="845" spans="2:3" ht="12.75" customHeight="1" x14ac:dyDescent="0.15">
      <c r="B845" s="3"/>
      <c r="C845" s="3"/>
    </row>
    <row r="846" spans="2:3" ht="12.75" customHeight="1" x14ac:dyDescent="0.15">
      <c r="B846" s="3"/>
      <c r="C846" s="3"/>
    </row>
    <row r="847" spans="2:3" ht="12.75" customHeight="1" x14ac:dyDescent="0.15">
      <c r="B847" s="3"/>
      <c r="C847" s="3"/>
    </row>
    <row r="848" spans="2:3" ht="12.75" customHeight="1" x14ac:dyDescent="0.15">
      <c r="B848" s="3"/>
      <c r="C848" s="3"/>
    </row>
    <row r="849" spans="2:3" ht="12.75" customHeight="1" x14ac:dyDescent="0.15">
      <c r="B849" s="3"/>
      <c r="C849" s="3"/>
    </row>
    <row r="850" spans="2:3" ht="12.75" customHeight="1" x14ac:dyDescent="0.15">
      <c r="B850" s="3"/>
      <c r="C850" s="3"/>
    </row>
    <row r="851" spans="2:3" ht="12.75" customHeight="1" x14ac:dyDescent="0.15">
      <c r="B851" s="3"/>
      <c r="C851" s="3"/>
    </row>
    <row r="852" spans="2:3" ht="12.75" customHeight="1" x14ac:dyDescent="0.15">
      <c r="B852" s="3"/>
      <c r="C852" s="3"/>
    </row>
    <row r="853" spans="2:3" ht="12.75" customHeight="1" x14ac:dyDescent="0.15">
      <c r="B853" s="3"/>
      <c r="C853" s="3"/>
    </row>
    <row r="854" spans="2:3" ht="12.75" customHeight="1" x14ac:dyDescent="0.15">
      <c r="B854" s="3"/>
      <c r="C854" s="3"/>
    </row>
    <row r="855" spans="2:3" ht="12.75" customHeight="1" x14ac:dyDescent="0.15">
      <c r="B855" s="3"/>
      <c r="C855" s="3"/>
    </row>
    <row r="856" spans="2:3" ht="12.75" customHeight="1" x14ac:dyDescent="0.15">
      <c r="B856" s="3"/>
      <c r="C856" s="3"/>
    </row>
    <row r="857" spans="2:3" ht="12.75" customHeight="1" x14ac:dyDescent="0.15">
      <c r="B857" s="3"/>
      <c r="C857" s="3"/>
    </row>
    <row r="858" spans="2:3" ht="12.75" customHeight="1" x14ac:dyDescent="0.15">
      <c r="B858" s="3"/>
      <c r="C858" s="3"/>
    </row>
    <row r="859" spans="2:3" ht="12.75" customHeight="1" x14ac:dyDescent="0.15">
      <c r="B859" s="3"/>
      <c r="C859" s="3"/>
    </row>
    <row r="860" spans="2:3" ht="12.75" customHeight="1" x14ac:dyDescent="0.15">
      <c r="B860" s="3"/>
      <c r="C860" s="3"/>
    </row>
    <row r="861" spans="2:3" ht="12.75" customHeight="1" x14ac:dyDescent="0.15">
      <c r="B861" s="3"/>
      <c r="C861" s="3"/>
    </row>
    <row r="862" spans="2:3" ht="12.75" customHeight="1" x14ac:dyDescent="0.15">
      <c r="B862" s="3"/>
      <c r="C862" s="3"/>
    </row>
    <row r="863" spans="2:3" ht="12.75" customHeight="1" x14ac:dyDescent="0.15">
      <c r="B863" s="3"/>
      <c r="C863" s="3"/>
    </row>
    <row r="864" spans="2:3" ht="12.75" customHeight="1" x14ac:dyDescent="0.15">
      <c r="B864" s="3"/>
      <c r="C864" s="3"/>
    </row>
    <row r="865" spans="2:3" ht="12.75" customHeight="1" x14ac:dyDescent="0.15">
      <c r="B865" s="3"/>
      <c r="C865" s="3"/>
    </row>
    <row r="866" spans="2:3" ht="12.75" customHeight="1" x14ac:dyDescent="0.15">
      <c r="B866" s="3"/>
      <c r="C866" s="3"/>
    </row>
    <row r="867" spans="2:3" ht="12.75" customHeight="1" x14ac:dyDescent="0.15">
      <c r="B867" s="3"/>
      <c r="C867" s="3"/>
    </row>
    <row r="868" spans="2:3" ht="12.75" customHeight="1" x14ac:dyDescent="0.15">
      <c r="B868" s="3"/>
      <c r="C868" s="3"/>
    </row>
    <row r="869" spans="2:3" ht="12.75" customHeight="1" x14ac:dyDescent="0.15">
      <c r="B869" s="3"/>
      <c r="C869" s="3"/>
    </row>
    <row r="870" spans="2:3" ht="12.75" customHeight="1" x14ac:dyDescent="0.15">
      <c r="B870" s="3"/>
      <c r="C870" s="3"/>
    </row>
    <row r="871" spans="2:3" ht="12.75" customHeight="1" x14ac:dyDescent="0.15">
      <c r="B871" s="3"/>
      <c r="C871" s="3"/>
    </row>
    <row r="872" spans="2:3" ht="12.75" customHeight="1" x14ac:dyDescent="0.15">
      <c r="B872" s="3"/>
      <c r="C872" s="3"/>
    </row>
    <row r="873" spans="2:3" ht="12.75" customHeight="1" x14ac:dyDescent="0.15">
      <c r="B873" s="3"/>
      <c r="C873" s="3"/>
    </row>
    <row r="874" spans="2:3" ht="12.75" customHeight="1" x14ac:dyDescent="0.15">
      <c r="B874" s="3"/>
      <c r="C874" s="3"/>
    </row>
    <row r="875" spans="2:3" ht="12.75" customHeight="1" x14ac:dyDescent="0.15">
      <c r="B875" s="3"/>
      <c r="C875" s="3"/>
    </row>
    <row r="876" spans="2:3" ht="12.75" customHeight="1" x14ac:dyDescent="0.15">
      <c r="B876" s="3"/>
      <c r="C876" s="3"/>
    </row>
    <row r="877" spans="2:3" ht="12.75" customHeight="1" x14ac:dyDescent="0.15">
      <c r="B877" s="3"/>
      <c r="C877" s="3"/>
    </row>
    <row r="878" spans="2:3" ht="12.75" customHeight="1" x14ac:dyDescent="0.15">
      <c r="B878" s="3"/>
      <c r="C878" s="3"/>
    </row>
    <row r="879" spans="2:3" ht="12.75" customHeight="1" x14ac:dyDescent="0.15">
      <c r="B879" s="3"/>
      <c r="C879" s="3"/>
    </row>
    <row r="880" spans="2:3" ht="12.75" customHeight="1" x14ac:dyDescent="0.15">
      <c r="B880" s="3"/>
      <c r="C880" s="3"/>
    </row>
    <row r="881" spans="2:3" ht="12.75" customHeight="1" x14ac:dyDescent="0.15">
      <c r="B881" s="3"/>
      <c r="C881" s="3"/>
    </row>
    <row r="882" spans="2:3" ht="12.75" customHeight="1" x14ac:dyDescent="0.15">
      <c r="B882" s="3"/>
      <c r="C882" s="3"/>
    </row>
    <row r="883" spans="2:3" ht="12.75" customHeight="1" x14ac:dyDescent="0.15">
      <c r="B883" s="3"/>
      <c r="C883" s="3"/>
    </row>
    <row r="884" spans="2:3" ht="12.75" customHeight="1" x14ac:dyDescent="0.15">
      <c r="B884" s="3"/>
      <c r="C884" s="3"/>
    </row>
    <row r="885" spans="2:3" ht="12.75" customHeight="1" x14ac:dyDescent="0.15">
      <c r="B885" s="3"/>
      <c r="C885" s="3"/>
    </row>
    <row r="886" spans="2:3" ht="12.75" customHeight="1" x14ac:dyDescent="0.15">
      <c r="B886" s="3"/>
      <c r="C886" s="3"/>
    </row>
    <row r="887" spans="2:3" ht="12.75" customHeight="1" x14ac:dyDescent="0.15">
      <c r="B887" s="3"/>
      <c r="C887" s="3"/>
    </row>
    <row r="888" spans="2:3" ht="12.75" customHeight="1" x14ac:dyDescent="0.15">
      <c r="B888" s="3"/>
      <c r="C888" s="3"/>
    </row>
    <row r="889" spans="2:3" ht="12.75" customHeight="1" x14ac:dyDescent="0.15">
      <c r="B889" s="3"/>
      <c r="C889" s="3"/>
    </row>
    <row r="890" spans="2:3" ht="12.75" customHeight="1" x14ac:dyDescent="0.15">
      <c r="B890" s="3"/>
      <c r="C890" s="3"/>
    </row>
    <row r="891" spans="2:3" ht="12.75" customHeight="1" x14ac:dyDescent="0.15">
      <c r="B891" s="3"/>
      <c r="C891" s="3"/>
    </row>
    <row r="892" spans="2:3" ht="12.75" customHeight="1" x14ac:dyDescent="0.15">
      <c r="B892" s="3"/>
      <c r="C892" s="3"/>
    </row>
    <row r="893" spans="2:3" ht="12.75" customHeight="1" x14ac:dyDescent="0.15">
      <c r="B893" s="3"/>
      <c r="C893" s="3"/>
    </row>
    <row r="894" spans="2:3" ht="12.75" customHeight="1" x14ac:dyDescent="0.15">
      <c r="B894" s="3"/>
      <c r="C894" s="3"/>
    </row>
    <row r="895" spans="2:3" ht="12.75" customHeight="1" x14ac:dyDescent="0.15">
      <c r="B895" s="3"/>
      <c r="C895" s="3"/>
    </row>
    <row r="896" spans="2:3" ht="12.75" customHeight="1" x14ac:dyDescent="0.15">
      <c r="B896" s="3"/>
      <c r="C896" s="3"/>
    </row>
    <row r="897" spans="2:3" ht="12.75" customHeight="1" x14ac:dyDescent="0.15">
      <c r="B897" s="3"/>
      <c r="C897" s="3"/>
    </row>
    <row r="898" spans="2:3" ht="12.75" customHeight="1" x14ac:dyDescent="0.15">
      <c r="B898" s="3"/>
      <c r="C898" s="3"/>
    </row>
    <row r="899" spans="2:3" ht="12.75" customHeight="1" x14ac:dyDescent="0.15">
      <c r="B899" s="3"/>
      <c r="C899" s="3"/>
    </row>
    <row r="900" spans="2:3" ht="12.75" customHeight="1" x14ac:dyDescent="0.15">
      <c r="B900" s="3"/>
      <c r="C900" s="3"/>
    </row>
    <row r="901" spans="2:3" ht="12.75" customHeight="1" x14ac:dyDescent="0.15">
      <c r="B901" s="3"/>
      <c r="C901" s="3"/>
    </row>
    <row r="902" spans="2:3" ht="12.75" customHeight="1" x14ac:dyDescent="0.15">
      <c r="B902" s="3"/>
      <c r="C902" s="3"/>
    </row>
    <row r="903" spans="2:3" ht="12.75" customHeight="1" x14ac:dyDescent="0.15">
      <c r="B903" s="3"/>
      <c r="C903" s="3"/>
    </row>
    <row r="904" spans="2:3" ht="12.75" customHeight="1" x14ac:dyDescent="0.15">
      <c r="B904" s="3"/>
      <c r="C904" s="3"/>
    </row>
    <row r="905" spans="2:3" ht="12.75" customHeight="1" x14ac:dyDescent="0.15">
      <c r="B905" s="3"/>
      <c r="C905" s="3"/>
    </row>
    <row r="906" spans="2:3" ht="12.75" customHeight="1" x14ac:dyDescent="0.15">
      <c r="B906" s="3"/>
      <c r="C906" s="3"/>
    </row>
    <row r="907" spans="2:3" ht="12.75" customHeight="1" x14ac:dyDescent="0.15">
      <c r="B907" s="3"/>
      <c r="C907" s="3"/>
    </row>
    <row r="908" spans="2:3" ht="12.75" customHeight="1" x14ac:dyDescent="0.15">
      <c r="B908" s="3"/>
      <c r="C908" s="3"/>
    </row>
    <row r="909" spans="2:3" ht="12.75" customHeight="1" x14ac:dyDescent="0.15">
      <c r="B909" s="3"/>
      <c r="C909" s="3"/>
    </row>
    <row r="910" spans="2:3" ht="12.75" customHeight="1" x14ac:dyDescent="0.15">
      <c r="B910" s="3"/>
      <c r="C910" s="3"/>
    </row>
    <row r="911" spans="2:3" ht="12.75" customHeight="1" x14ac:dyDescent="0.15">
      <c r="B911" s="3"/>
      <c r="C911" s="3"/>
    </row>
    <row r="912" spans="2:3" ht="12.75" customHeight="1" x14ac:dyDescent="0.15">
      <c r="B912" s="3"/>
      <c r="C912" s="3"/>
    </row>
    <row r="913" spans="2:3" ht="12.75" customHeight="1" x14ac:dyDescent="0.15">
      <c r="B913" s="3"/>
      <c r="C913" s="3"/>
    </row>
    <row r="914" spans="2:3" ht="12.75" customHeight="1" x14ac:dyDescent="0.15">
      <c r="B914" s="3"/>
      <c r="C914" s="3"/>
    </row>
    <row r="915" spans="2:3" ht="12.75" customHeight="1" x14ac:dyDescent="0.15">
      <c r="B915" s="3"/>
      <c r="C915" s="3"/>
    </row>
    <row r="916" spans="2:3" ht="12.75" customHeight="1" x14ac:dyDescent="0.15">
      <c r="B916" s="3"/>
      <c r="C916" s="3"/>
    </row>
    <row r="917" spans="2:3" ht="12.75" customHeight="1" x14ac:dyDescent="0.15">
      <c r="B917" s="3"/>
      <c r="C917" s="3"/>
    </row>
    <row r="918" spans="2:3" ht="12.75" customHeight="1" x14ac:dyDescent="0.15">
      <c r="B918" s="3"/>
      <c r="C918" s="3"/>
    </row>
    <row r="919" spans="2:3" ht="12.75" customHeight="1" x14ac:dyDescent="0.15">
      <c r="B919" s="3"/>
      <c r="C919" s="3"/>
    </row>
    <row r="920" spans="2:3" ht="12.75" customHeight="1" x14ac:dyDescent="0.15">
      <c r="B920" s="3"/>
      <c r="C920" s="3"/>
    </row>
    <row r="921" spans="2:3" ht="12.75" customHeight="1" x14ac:dyDescent="0.15">
      <c r="B921" s="3"/>
      <c r="C921" s="3"/>
    </row>
    <row r="922" spans="2:3" ht="12.75" customHeight="1" x14ac:dyDescent="0.15">
      <c r="B922" s="3"/>
      <c r="C922" s="3"/>
    </row>
    <row r="923" spans="2:3" ht="12.75" customHeight="1" x14ac:dyDescent="0.15">
      <c r="B923" s="3"/>
      <c r="C923" s="3"/>
    </row>
    <row r="924" spans="2:3" ht="12.75" customHeight="1" x14ac:dyDescent="0.15">
      <c r="B924" s="3"/>
      <c r="C924" s="3"/>
    </row>
    <row r="925" spans="2:3" ht="12.75" customHeight="1" x14ac:dyDescent="0.15">
      <c r="B925" s="3"/>
      <c r="C925" s="3"/>
    </row>
    <row r="926" spans="2:3" ht="12.75" customHeight="1" x14ac:dyDescent="0.15">
      <c r="B926" s="3"/>
      <c r="C926" s="3"/>
    </row>
    <row r="927" spans="2:3" ht="12.75" customHeight="1" x14ac:dyDescent="0.15">
      <c r="B927" s="3"/>
      <c r="C927" s="3"/>
    </row>
    <row r="928" spans="2:3" ht="12.75" customHeight="1" x14ac:dyDescent="0.15">
      <c r="B928" s="3"/>
      <c r="C928" s="3"/>
    </row>
    <row r="929" spans="2:3" ht="12.75" customHeight="1" x14ac:dyDescent="0.15">
      <c r="B929" s="3"/>
      <c r="C929" s="3"/>
    </row>
    <row r="930" spans="2:3" ht="12.75" customHeight="1" x14ac:dyDescent="0.15">
      <c r="B930" s="3"/>
      <c r="C930" s="3"/>
    </row>
    <row r="931" spans="2:3" ht="12.75" customHeight="1" x14ac:dyDescent="0.15">
      <c r="B931" s="3"/>
      <c r="C931" s="3"/>
    </row>
    <row r="932" spans="2:3" ht="12.75" customHeight="1" x14ac:dyDescent="0.15">
      <c r="B932" s="3"/>
      <c r="C932" s="3"/>
    </row>
    <row r="933" spans="2:3" ht="12.75" customHeight="1" x14ac:dyDescent="0.15">
      <c r="B933" s="3"/>
      <c r="C933" s="3"/>
    </row>
    <row r="934" spans="2:3" ht="12.75" customHeight="1" x14ac:dyDescent="0.15">
      <c r="B934" s="3"/>
      <c r="C934" s="3"/>
    </row>
    <row r="935" spans="2:3" ht="12.75" customHeight="1" x14ac:dyDescent="0.15">
      <c r="B935" s="3"/>
      <c r="C935" s="3"/>
    </row>
    <row r="936" spans="2:3" ht="12.75" customHeight="1" x14ac:dyDescent="0.15">
      <c r="B936" s="3"/>
      <c r="C936" s="3"/>
    </row>
    <row r="937" spans="2:3" ht="12.75" customHeight="1" x14ac:dyDescent="0.15">
      <c r="B937" s="3"/>
      <c r="C937" s="3"/>
    </row>
    <row r="938" spans="2:3" ht="12.75" customHeight="1" x14ac:dyDescent="0.15">
      <c r="B938" s="3"/>
      <c r="C938" s="3"/>
    </row>
    <row r="939" spans="2:3" ht="12.75" customHeight="1" x14ac:dyDescent="0.15">
      <c r="B939" s="3"/>
      <c r="C939" s="3"/>
    </row>
    <row r="940" spans="2:3" ht="12.75" customHeight="1" x14ac:dyDescent="0.15">
      <c r="B940" s="3"/>
      <c r="C940" s="3"/>
    </row>
    <row r="941" spans="2:3" ht="12.75" customHeight="1" x14ac:dyDescent="0.15">
      <c r="B941" s="3"/>
      <c r="C941" s="3"/>
    </row>
    <row r="942" spans="2:3" ht="12.75" customHeight="1" x14ac:dyDescent="0.15">
      <c r="B942" s="3"/>
      <c r="C942" s="3"/>
    </row>
    <row r="943" spans="2:3" ht="12.75" customHeight="1" x14ac:dyDescent="0.15">
      <c r="B943" s="3"/>
      <c r="C943" s="3"/>
    </row>
    <row r="944" spans="2:3" ht="12.75" customHeight="1" x14ac:dyDescent="0.15">
      <c r="B944" s="3"/>
      <c r="C944" s="3"/>
    </row>
    <row r="945" spans="2:3" ht="12.75" customHeight="1" x14ac:dyDescent="0.15">
      <c r="B945" s="3"/>
      <c r="C945" s="3"/>
    </row>
    <row r="946" spans="2:3" ht="12.75" customHeight="1" x14ac:dyDescent="0.15">
      <c r="B946" s="3"/>
      <c r="C946" s="3"/>
    </row>
    <row r="947" spans="2:3" ht="12.75" customHeight="1" x14ac:dyDescent="0.15">
      <c r="B947" s="3"/>
      <c r="C947" s="3"/>
    </row>
    <row r="948" spans="2:3" ht="12.75" customHeight="1" x14ac:dyDescent="0.15">
      <c r="B948" s="3"/>
      <c r="C948" s="3"/>
    </row>
    <row r="949" spans="2:3" ht="12.75" customHeight="1" x14ac:dyDescent="0.15">
      <c r="B949" s="3"/>
      <c r="C949" s="3"/>
    </row>
    <row r="950" spans="2:3" ht="12.75" customHeight="1" x14ac:dyDescent="0.15">
      <c r="B950" s="3"/>
      <c r="C950" s="3"/>
    </row>
    <row r="951" spans="2:3" ht="12.75" customHeight="1" x14ac:dyDescent="0.15">
      <c r="B951" s="3"/>
      <c r="C951" s="3"/>
    </row>
    <row r="952" spans="2:3" ht="12.75" customHeight="1" x14ac:dyDescent="0.15">
      <c r="B952" s="3"/>
      <c r="C952" s="3"/>
    </row>
    <row r="953" spans="2:3" ht="12.75" customHeight="1" x14ac:dyDescent="0.15">
      <c r="B953" s="3"/>
      <c r="C953" s="3"/>
    </row>
    <row r="954" spans="2:3" ht="12.75" customHeight="1" x14ac:dyDescent="0.15">
      <c r="B954" s="3"/>
      <c r="C954" s="3"/>
    </row>
    <row r="955" spans="2:3" ht="12.75" customHeight="1" x14ac:dyDescent="0.15">
      <c r="B955" s="3"/>
      <c r="C955" s="3"/>
    </row>
    <row r="956" spans="2:3" ht="12.75" customHeight="1" x14ac:dyDescent="0.15">
      <c r="B956" s="3"/>
      <c r="C956" s="3"/>
    </row>
    <row r="957" spans="2:3" ht="12.75" customHeight="1" x14ac:dyDescent="0.15">
      <c r="B957" s="3"/>
      <c r="C957" s="3"/>
    </row>
    <row r="958" spans="2:3" ht="12.75" customHeight="1" x14ac:dyDescent="0.15">
      <c r="B958" s="3"/>
      <c r="C958" s="3"/>
    </row>
    <row r="959" spans="2:3" ht="12.75" customHeight="1" x14ac:dyDescent="0.15">
      <c r="B959" s="3"/>
      <c r="C959" s="3"/>
    </row>
    <row r="960" spans="2:3" ht="12.75" customHeight="1" x14ac:dyDescent="0.15">
      <c r="B960" s="3"/>
      <c r="C960" s="3"/>
    </row>
    <row r="961" spans="2:3" ht="12.75" customHeight="1" x14ac:dyDescent="0.15">
      <c r="B961" s="3"/>
      <c r="C961" s="3"/>
    </row>
    <row r="962" spans="2:3" ht="12.75" customHeight="1" x14ac:dyDescent="0.15">
      <c r="B962" s="3"/>
      <c r="C962" s="3"/>
    </row>
    <row r="963" spans="2:3" ht="12.75" customHeight="1" x14ac:dyDescent="0.15">
      <c r="B963" s="3"/>
      <c r="C963" s="3"/>
    </row>
    <row r="964" spans="2:3" ht="12.75" customHeight="1" x14ac:dyDescent="0.15">
      <c r="B964" s="3"/>
      <c r="C964" s="3"/>
    </row>
    <row r="965" spans="2:3" ht="12.75" customHeight="1" x14ac:dyDescent="0.15">
      <c r="B965" s="3"/>
      <c r="C965" s="3"/>
    </row>
    <row r="966" spans="2:3" ht="12.75" customHeight="1" x14ac:dyDescent="0.15">
      <c r="B966" s="3"/>
      <c r="C966" s="3"/>
    </row>
    <row r="967" spans="2:3" ht="12.75" customHeight="1" x14ac:dyDescent="0.15">
      <c r="B967" s="3"/>
      <c r="C967" s="3"/>
    </row>
    <row r="968" spans="2:3" ht="12.75" customHeight="1" x14ac:dyDescent="0.15">
      <c r="B968" s="3"/>
      <c r="C968" s="3"/>
    </row>
    <row r="969" spans="2:3" ht="12.75" customHeight="1" x14ac:dyDescent="0.15">
      <c r="B969" s="3"/>
      <c r="C969" s="3"/>
    </row>
    <row r="970" spans="2:3" ht="12.75" customHeight="1" x14ac:dyDescent="0.15">
      <c r="B970" s="3"/>
      <c r="C970" s="3"/>
    </row>
    <row r="971" spans="2:3" ht="12.75" customHeight="1" x14ac:dyDescent="0.15">
      <c r="B971" s="3"/>
      <c r="C971" s="3"/>
    </row>
    <row r="972" spans="2:3" ht="12.75" customHeight="1" x14ac:dyDescent="0.15">
      <c r="B972" s="3"/>
      <c r="C972" s="3"/>
    </row>
    <row r="973" spans="2:3" ht="12.75" customHeight="1" x14ac:dyDescent="0.15">
      <c r="B973" s="3"/>
      <c r="C973" s="3"/>
    </row>
    <row r="974" spans="2:3" ht="12.75" customHeight="1" x14ac:dyDescent="0.15">
      <c r="B974" s="3"/>
      <c r="C974" s="3"/>
    </row>
    <row r="975" spans="2:3" ht="12.75" customHeight="1" x14ac:dyDescent="0.15">
      <c r="B975" s="3"/>
      <c r="C975" s="3"/>
    </row>
    <row r="976" spans="2:3" ht="12.75" customHeight="1" x14ac:dyDescent="0.15">
      <c r="B976" s="3"/>
      <c r="C976" s="3"/>
    </row>
    <row r="977" spans="2:3" ht="12.75" customHeight="1" x14ac:dyDescent="0.15">
      <c r="B977" s="3"/>
      <c r="C977" s="3"/>
    </row>
    <row r="978" spans="2:3" ht="12.75" customHeight="1" x14ac:dyDescent="0.15">
      <c r="B978" s="3"/>
      <c r="C978" s="3"/>
    </row>
    <row r="979" spans="2:3" ht="12.75" customHeight="1" x14ac:dyDescent="0.15">
      <c r="B979" s="3"/>
      <c r="C979" s="3"/>
    </row>
    <row r="980" spans="2:3" ht="12.75" customHeight="1" x14ac:dyDescent="0.15">
      <c r="B980" s="3"/>
      <c r="C980" s="3"/>
    </row>
    <row r="981" spans="2:3" ht="12.75" customHeight="1" x14ac:dyDescent="0.15">
      <c r="B981" s="3"/>
      <c r="C981" s="3"/>
    </row>
    <row r="982" spans="2:3" ht="12.75" customHeight="1" x14ac:dyDescent="0.15">
      <c r="B982" s="3"/>
      <c r="C982" s="3"/>
    </row>
    <row r="983" spans="2:3" ht="12.75" customHeight="1" x14ac:dyDescent="0.15">
      <c r="B983" s="3"/>
      <c r="C983" s="3"/>
    </row>
    <row r="984" spans="2:3" ht="12.75" customHeight="1" x14ac:dyDescent="0.15">
      <c r="B984" s="3"/>
      <c r="C984" s="3"/>
    </row>
    <row r="985" spans="2:3" ht="12.75" customHeight="1" x14ac:dyDescent="0.15">
      <c r="B985" s="3"/>
      <c r="C985" s="3"/>
    </row>
    <row r="986" spans="2:3" ht="12.75" customHeight="1" x14ac:dyDescent="0.15">
      <c r="B986" s="3"/>
      <c r="C986" s="3"/>
    </row>
    <row r="987" spans="2:3" ht="12.75" customHeight="1" x14ac:dyDescent="0.15">
      <c r="B987" s="3"/>
      <c r="C987" s="3"/>
    </row>
    <row r="988" spans="2:3" ht="12.75" customHeight="1" x14ac:dyDescent="0.15">
      <c r="B988" s="3"/>
      <c r="C988" s="3"/>
    </row>
    <row r="989" spans="2:3" ht="12.75" customHeight="1" x14ac:dyDescent="0.15">
      <c r="B989" s="3"/>
      <c r="C989" s="3"/>
    </row>
    <row r="990" spans="2:3" ht="12.75" customHeight="1" x14ac:dyDescent="0.15">
      <c r="B990" s="3"/>
      <c r="C990" s="3"/>
    </row>
    <row r="991" spans="2:3" ht="12.75" customHeight="1" x14ac:dyDescent="0.15">
      <c r="B991" s="3"/>
      <c r="C991" s="3"/>
    </row>
    <row r="992" spans="2:3" ht="12.75" customHeight="1" x14ac:dyDescent="0.15">
      <c r="B992" s="3"/>
      <c r="C992" s="3"/>
    </row>
    <row r="993" spans="2:3" ht="12.75" customHeight="1" x14ac:dyDescent="0.15">
      <c r="B993" s="3"/>
      <c r="C993" s="3"/>
    </row>
    <row r="994" spans="2:3" ht="12.75" customHeight="1" x14ac:dyDescent="0.15">
      <c r="B994" s="3"/>
      <c r="C994" s="3"/>
    </row>
    <row r="995" spans="2:3" ht="12.75" customHeight="1" x14ac:dyDescent="0.15">
      <c r="B995" s="3"/>
      <c r="C995" s="3"/>
    </row>
    <row r="996" spans="2:3" ht="12.75" customHeight="1" x14ac:dyDescent="0.15">
      <c r="B996" s="3"/>
      <c r="C996" s="3"/>
    </row>
    <row r="997" spans="2:3" ht="12.75" customHeight="1" x14ac:dyDescent="0.15">
      <c r="B997" s="3"/>
      <c r="C997" s="3"/>
    </row>
    <row r="998" spans="2:3" ht="12.75" customHeight="1" x14ac:dyDescent="0.15">
      <c r="B998" s="3"/>
      <c r="C998" s="3"/>
    </row>
    <row r="999" spans="2:3" ht="12.75" customHeight="1" x14ac:dyDescent="0.15">
      <c r="B999" s="3"/>
      <c r="C999" s="3"/>
    </row>
    <row r="1000" spans="2:3" ht="12.75" customHeight="1" x14ac:dyDescent="0.15">
      <c r="B1000" s="3"/>
      <c r="C1000" s="3"/>
    </row>
    <row r="1001" spans="2:3" ht="12.75" customHeight="1" x14ac:dyDescent="0.15">
      <c r="B1001" s="3"/>
      <c r="C1001" s="3"/>
    </row>
    <row r="1002" spans="2:3" ht="12.75" customHeight="1" x14ac:dyDescent="0.15">
      <c r="B1002" s="3"/>
      <c r="C1002" s="3"/>
    </row>
    <row r="1003" spans="2:3" ht="12.75" customHeight="1" x14ac:dyDescent="0.15">
      <c r="B1003" s="3"/>
      <c r="C1003" s="3"/>
    </row>
    <row r="1004" spans="2:3" ht="12.75" customHeight="1" x14ac:dyDescent="0.15">
      <c r="B1004" s="3"/>
      <c r="C1004" s="3"/>
    </row>
    <row r="1005" spans="2:3" ht="12.75" customHeight="1" x14ac:dyDescent="0.15">
      <c r="B1005" s="3"/>
      <c r="C1005" s="3"/>
    </row>
    <row r="1006" spans="2:3" ht="12.75" customHeight="1" x14ac:dyDescent="0.15">
      <c r="B1006" s="3"/>
      <c r="C1006" s="3"/>
    </row>
    <row r="1007" spans="2:3" ht="12.75" customHeight="1" x14ac:dyDescent="0.15">
      <c r="B1007" s="3"/>
      <c r="C1007" s="3"/>
    </row>
    <row r="1008" spans="2:3" ht="12.75" customHeight="1" x14ac:dyDescent="0.15">
      <c r="B1008" s="3"/>
      <c r="C1008" s="3"/>
    </row>
    <row r="1009" spans="2:3" ht="12.75" customHeight="1" x14ac:dyDescent="0.15">
      <c r="B1009" s="3"/>
      <c r="C1009" s="3"/>
    </row>
    <row r="1010" spans="2:3" ht="12.75" customHeight="1" x14ac:dyDescent="0.15">
      <c r="B1010" s="3"/>
      <c r="C1010" s="3"/>
    </row>
    <row r="1011" spans="2:3" ht="12.75" customHeight="1" x14ac:dyDescent="0.15">
      <c r="B1011" s="3"/>
      <c r="C1011" s="3"/>
    </row>
    <row r="1012" spans="2:3" ht="12.75" customHeight="1" x14ac:dyDescent="0.15">
      <c r="B1012" s="3"/>
      <c r="C1012" s="3"/>
    </row>
    <row r="1013" spans="2:3" ht="12.75" customHeight="1" x14ac:dyDescent="0.15">
      <c r="B1013" s="3"/>
      <c r="C1013" s="3"/>
    </row>
    <row r="1014" spans="2:3" ht="12.75" customHeight="1" x14ac:dyDescent="0.15">
      <c r="B1014" s="3"/>
      <c r="C1014" s="3"/>
    </row>
    <row r="1015" spans="2:3" ht="12.75" customHeight="1" x14ac:dyDescent="0.15">
      <c r="B1015" s="3"/>
      <c r="C1015" s="3"/>
    </row>
    <row r="1016" spans="2:3" ht="12.75" customHeight="1" x14ac:dyDescent="0.15">
      <c r="B1016" s="3"/>
      <c r="C1016" s="3"/>
    </row>
    <row r="1017" spans="2:3" ht="12.75" customHeight="1" x14ac:dyDescent="0.15">
      <c r="B1017" s="3"/>
      <c r="C1017" s="3"/>
    </row>
    <row r="1018" spans="2:3" ht="12.75" customHeight="1" x14ac:dyDescent="0.15">
      <c r="B1018" s="3"/>
      <c r="C1018" s="3"/>
    </row>
    <row r="1019" spans="2:3" ht="12.75" customHeight="1" x14ac:dyDescent="0.15">
      <c r="B1019" s="3"/>
      <c r="C1019" s="3"/>
    </row>
    <row r="1020" spans="2:3" ht="12.75" customHeight="1" x14ac:dyDescent="0.15">
      <c r="B1020" s="3"/>
      <c r="C1020" s="3"/>
    </row>
    <row r="1021" spans="2:3" ht="12.75" customHeight="1" x14ac:dyDescent="0.15">
      <c r="B1021" s="3"/>
      <c r="C1021" s="3"/>
    </row>
    <row r="1022" spans="2:3" ht="12.75" customHeight="1" x14ac:dyDescent="0.15">
      <c r="B1022" s="3"/>
      <c r="C1022" s="3"/>
    </row>
    <row r="1023" spans="2:3" ht="12.75" customHeight="1" x14ac:dyDescent="0.15">
      <c r="B1023" s="3"/>
      <c r="C1023" s="3"/>
    </row>
    <row r="1024" spans="2:3" ht="12.75" customHeight="1" x14ac:dyDescent="0.15">
      <c r="B1024" s="3"/>
      <c r="C1024" s="3"/>
    </row>
    <row r="1025" spans="2:3" ht="12.75" customHeight="1" x14ac:dyDescent="0.15">
      <c r="B1025" s="3"/>
      <c r="C1025" s="3"/>
    </row>
    <row r="1026" spans="2:3" ht="12.75" customHeight="1" x14ac:dyDescent="0.15">
      <c r="B1026" s="3"/>
      <c r="C1026" s="3"/>
    </row>
    <row r="1027" spans="2:3" ht="12.75" customHeight="1" x14ac:dyDescent="0.15">
      <c r="B1027" s="3"/>
      <c r="C1027" s="3"/>
    </row>
    <row r="1028" spans="2:3" ht="12.75" customHeight="1" x14ac:dyDescent="0.15">
      <c r="B1028" s="3"/>
      <c r="C1028" s="3"/>
    </row>
    <row r="1029" spans="2:3" ht="12.75" customHeight="1" x14ac:dyDescent="0.15">
      <c r="B1029" s="3"/>
      <c r="C1029" s="3"/>
    </row>
    <row r="1030" spans="2:3" ht="12.75" customHeight="1" x14ac:dyDescent="0.15">
      <c r="B1030" s="3"/>
      <c r="C1030" s="3"/>
    </row>
    <row r="1031" spans="2:3" ht="12.75" customHeight="1" x14ac:dyDescent="0.15">
      <c r="B1031" s="3"/>
      <c r="C1031" s="3"/>
    </row>
    <row r="1032" spans="2:3" ht="12.75" customHeight="1" x14ac:dyDescent="0.15">
      <c r="B1032" s="3"/>
      <c r="C1032" s="3"/>
    </row>
    <row r="1033" spans="2:3" ht="12.75" customHeight="1" x14ac:dyDescent="0.15">
      <c r="B1033" s="3"/>
      <c r="C1033" s="3"/>
    </row>
    <row r="1034" spans="2:3" ht="12.75" customHeight="1" x14ac:dyDescent="0.15">
      <c r="B1034" s="3"/>
      <c r="C1034" s="3"/>
    </row>
    <row r="1035" spans="2:3" ht="12.75" customHeight="1" x14ac:dyDescent="0.15">
      <c r="B1035" s="3"/>
      <c r="C1035" s="3"/>
    </row>
    <row r="1036" spans="2:3" ht="12.75" customHeight="1" x14ac:dyDescent="0.15">
      <c r="B1036" s="3"/>
      <c r="C1036" s="3"/>
    </row>
    <row r="1037" spans="2:3" ht="12.75" customHeight="1" x14ac:dyDescent="0.15">
      <c r="B1037" s="3"/>
      <c r="C1037" s="3"/>
    </row>
    <row r="1038" spans="2:3" ht="12.75" customHeight="1" x14ac:dyDescent="0.15">
      <c r="B1038" s="3"/>
      <c r="C1038" s="3"/>
    </row>
    <row r="1039" spans="2:3" ht="12.75" customHeight="1" x14ac:dyDescent="0.15">
      <c r="B1039" s="3"/>
      <c r="C1039" s="3"/>
    </row>
    <row r="1040" spans="2:3" ht="12.75" customHeight="1" x14ac:dyDescent="0.15">
      <c r="B1040" s="3"/>
      <c r="C1040" s="3"/>
    </row>
    <row r="1041" spans="2:3" ht="12.75" customHeight="1" x14ac:dyDescent="0.15">
      <c r="B1041" s="3"/>
      <c r="C1041" s="3"/>
    </row>
    <row r="1042" spans="2:3" ht="12.75" customHeight="1" x14ac:dyDescent="0.15">
      <c r="B1042" s="3"/>
      <c r="C1042" s="3"/>
    </row>
    <row r="1043" spans="2:3" ht="12.75" customHeight="1" x14ac:dyDescent="0.15">
      <c r="B1043" s="3"/>
      <c r="C1043" s="3"/>
    </row>
    <row r="1044" spans="2:3" ht="12.75" customHeight="1" x14ac:dyDescent="0.15">
      <c r="B1044" s="3"/>
      <c r="C1044" s="3"/>
    </row>
    <row r="1045" spans="2:3" ht="12.75" customHeight="1" x14ac:dyDescent="0.15">
      <c r="B1045" s="3"/>
      <c r="C1045" s="3"/>
    </row>
    <row r="1046" spans="2:3" ht="12.75" customHeight="1" x14ac:dyDescent="0.15">
      <c r="B1046" s="3"/>
      <c r="C1046" s="3"/>
    </row>
    <row r="1047" spans="2:3" ht="12.75" customHeight="1" x14ac:dyDescent="0.15">
      <c r="B1047" s="3"/>
      <c r="C1047" s="3"/>
    </row>
    <row r="1048" spans="2:3" ht="12.75" customHeight="1" x14ac:dyDescent="0.15">
      <c r="B1048" s="3"/>
      <c r="C1048" s="3"/>
    </row>
    <row r="1049" spans="2:3" ht="12.75" customHeight="1" x14ac:dyDescent="0.15">
      <c r="B1049" s="3"/>
      <c r="C1049" s="3"/>
    </row>
    <row r="1050" spans="2:3" ht="12.75" customHeight="1" x14ac:dyDescent="0.15">
      <c r="B1050" s="3"/>
      <c r="C1050" s="3"/>
    </row>
    <row r="1051" spans="2:3" ht="12.75" customHeight="1" x14ac:dyDescent="0.15">
      <c r="B1051" s="3"/>
      <c r="C1051" s="3"/>
    </row>
    <row r="1052" spans="2:3" ht="12.75" customHeight="1" x14ac:dyDescent="0.15">
      <c r="B1052" s="3"/>
      <c r="C1052" s="3"/>
    </row>
    <row r="1053" spans="2:3" ht="12.75" customHeight="1" x14ac:dyDescent="0.15">
      <c r="B1053" s="3"/>
      <c r="C1053" s="3"/>
    </row>
    <row r="1054" spans="2:3" ht="12.75" customHeight="1" x14ac:dyDescent="0.15">
      <c r="B1054" s="3"/>
      <c r="C1054" s="3"/>
    </row>
    <row r="1055" spans="2:3" ht="12.75" customHeight="1" x14ac:dyDescent="0.15">
      <c r="B1055" s="3"/>
      <c r="C1055" s="3"/>
    </row>
    <row r="1056" spans="2:3" ht="12.75" customHeight="1" x14ac:dyDescent="0.15">
      <c r="B1056" s="3"/>
      <c r="C1056" s="3"/>
    </row>
    <row r="1057" spans="2:3" ht="12.75" customHeight="1" x14ac:dyDescent="0.15">
      <c r="B1057" s="3"/>
      <c r="C1057" s="3"/>
    </row>
    <row r="1058" spans="2:3" ht="12.75" customHeight="1" x14ac:dyDescent="0.15">
      <c r="B1058" s="3"/>
      <c r="C1058" s="3"/>
    </row>
    <row r="1059" spans="2:3" ht="12.75" customHeight="1" x14ac:dyDescent="0.15">
      <c r="B1059" s="3"/>
      <c r="C1059" s="3"/>
    </row>
    <row r="1060" spans="2:3" ht="12.75" customHeight="1" x14ac:dyDescent="0.15">
      <c r="B1060" s="3"/>
      <c r="C1060" s="3"/>
    </row>
    <row r="1061" spans="2:3" ht="12.75" customHeight="1" x14ac:dyDescent="0.15">
      <c r="B1061" s="3"/>
      <c r="C1061" s="3"/>
    </row>
    <row r="1062" spans="2:3" ht="12.75" customHeight="1" x14ac:dyDescent="0.15">
      <c r="B1062" s="3"/>
      <c r="C1062" s="3"/>
    </row>
    <row r="1063" spans="2:3" ht="12.75" customHeight="1" x14ac:dyDescent="0.15">
      <c r="B1063" s="3"/>
      <c r="C1063" s="3"/>
    </row>
    <row r="1064" spans="2:3" ht="12.75" customHeight="1" x14ac:dyDescent="0.15">
      <c r="B1064" s="3"/>
      <c r="C1064" s="3"/>
    </row>
    <row r="1065" spans="2:3" ht="12.75" customHeight="1" x14ac:dyDescent="0.15">
      <c r="B1065" s="3"/>
      <c r="C1065" s="3"/>
    </row>
    <row r="1066" spans="2:3" ht="12.75" customHeight="1" x14ac:dyDescent="0.15">
      <c r="B1066" s="3"/>
      <c r="C1066" s="3"/>
    </row>
    <row r="1067" spans="2:3" ht="12.75" customHeight="1" x14ac:dyDescent="0.15">
      <c r="B1067" s="3"/>
      <c r="C1067" s="3"/>
    </row>
    <row r="1068" spans="2:3" ht="12.75" customHeight="1" x14ac:dyDescent="0.15">
      <c r="B1068" s="3"/>
      <c r="C1068" s="3"/>
    </row>
    <row r="1069" spans="2:3" ht="12.75" customHeight="1" x14ac:dyDescent="0.15">
      <c r="B1069" s="3"/>
      <c r="C1069" s="3"/>
    </row>
    <row r="1070" spans="2:3" ht="12.75" customHeight="1" x14ac:dyDescent="0.15">
      <c r="B1070" s="3"/>
      <c r="C1070" s="3"/>
    </row>
    <row r="1071" spans="2:3" ht="12.75" customHeight="1" x14ac:dyDescent="0.15">
      <c r="B1071" s="3"/>
      <c r="C1071" s="3"/>
    </row>
    <row r="1072" spans="2:3" ht="12.75" customHeight="1" x14ac:dyDescent="0.15">
      <c r="B1072" s="3"/>
      <c r="C1072" s="3"/>
    </row>
    <row r="1073" spans="2:3" ht="12.75" customHeight="1" x14ac:dyDescent="0.15">
      <c r="B1073" s="3"/>
      <c r="C1073" s="3"/>
    </row>
    <row r="1074" spans="2:3" ht="12.75" customHeight="1" x14ac:dyDescent="0.15">
      <c r="B1074" s="3"/>
      <c r="C1074" s="3"/>
    </row>
    <row r="1075" spans="2:3" ht="12.75" customHeight="1" x14ac:dyDescent="0.15">
      <c r="B1075" s="3"/>
      <c r="C1075" s="3"/>
    </row>
    <row r="1076" spans="2:3" ht="12.75" customHeight="1" x14ac:dyDescent="0.15">
      <c r="B1076" s="3"/>
      <c r="C1076" s="3"/>
    </row>
    <row r="1077" spans="2:3" ht="12.75" customHeight="1" x14ac:dyDescent="0.15">
      <c r="B1077" s="3"/>
      <c r="C1077" s="3"/>
    </row>
    <row r="1078" spans="2:3" ht="12.75" customHeight="1" x14ac:dyDescent="0.15">
      <c r="B1078" s="3"/>
      <c r="C1078" s="3"/>
    </row>
    <row r="1079" spans="2:3" ht="12.75" customHeight="1" x14ac:dyDescent="0.15">
      <c r="B1079" s="3"/>
      <c r="C1079" s="3"/>
    </row>
    <row r="1080" spans="2:3" ht="12.75" customHeight="1" x14ac:dyDescent="0.15">
      <c r="B1080" s="3"/>
      <c r="C1080" s="3"/>
    </row>
    <row r="1081" spans="2:3" ht="12.75" customHeight="1" x14ac:dyDescent="0.15">
      <c r="B1081" s="3"/>
      <c r="C1081" s="3"/>
    </row>
    <row r="1082" spans="2:3" ht="12.75" customHeight="1" x14ac:dyDescent="0.15">
      <c r="B1082" s="3"/>
      <c r="C1082" s="3"/>
    </row>
    <row r="1083" spans="2:3" ht="12.75" customHeight="1" x14ac:dyDescent="0.15">
      <c r="B1083" s="3"/>
      <c r="C1083" s="3"/>
    </row>
    <row r="1084" spans="2:3" ht="12.75" customHeight="1" x14ac:dyDescent="0.15">
      <c r="B1084" s="3"/>
      <c r="C1084" s="3"/>
    </row>
    <row r="1085" spans="2:3" ht="12.75" customHeight="1" x14ac:dyDescent="0.15">
      <c r="B1085" s="3"/>
      <c r="C1085" s="3"/>
    </row>
    <row r="1086" spans="2:3" ht="12.75" customHeight="1" x14ac:dyDescent="0.15">
      <c r="B1086" s="3"/>
      <c r="C1086" s="3"/>
    </row>
    <row r="1087" spans="2:3" ht="12.75" customHeight="1" x14ac:dyDescent="0.15">
      <c r="B1087" s="3"/>
      <c r="C1087" s="3"/>
    </row>
    <row r="1088" spans="2:3" ht="12.75" customHeight="1" x14ac:dyDescent="0.15">
      <c r="B1088" s="3"/>
      <c r="C1088" s="3"/>
    </row>
    <row r="1089" spans="2:3" ht="12.75" customHeight="1" x14ac:dyDescent="0.15">
      <c r="B1089" s="3"/>
      <c r="C1089" s="3"/>
    </row>
    <row r="1090" spans="2:3" ht="12.75" customHeight="1" x14ac:dyDescent="0.15">
      <c r="B1090" s="3"/>
      <c r="C1090" s="3"/>
    </row>
    <row r="1091" spans="2:3" ht="12.75" customHeight="1" x14ac:dyDescent="0.15">
      <c r="B1091" s="3"/>
      <c r="C1091" s="3"/>
    </row>
    <row r="1092" spans="2:3" ht="12.75" customHeight="1" x14ac:dyDescent="0.15">
      <c r="B1092" s="3"/>
      <c r="C1092" s="3"/>
    </row>
    <row r="1093" spans="2:3" ht="12.75" customHeight="1" x14ac:dyDescent="0.15">
      <c r="B1093" s="3"/>
      <c r="C1093" s="3"/>
    </row>
    <row r="1094" spans="2:3" ht="12.75" customHeight="1" x14ac:dyDescent="0.15">
      <c r="B1094" s="3"/>
      <c r="C1094" s="3"/>
    </row>
    <row r="1095" spans="2:3" ht="12.75" customHeight="1" x14ac:dyDescent="0.15">
      <c r="B1095" s="3"/>
      <c r="C1095" s="3"/>
    </row>
    <row r="1096" spans="2:3" ht="12.75" customHeight="1" x14ac:dyDescent="0.15">
      <c r="B1096" s="3"/>
      <c r="C1096" s="3"/>
    </row>
    <row r="1097" spans="2:3" ht="12.75" customHeight="1" x14ac:dyDescent="0.15">
      <c r="B1097" s="3"/>
      <c r="C1097" s="3"/>
    </row>
    <row r="1098" spans="2:3" ht="12.75" customHeight="1" x14ac:dyDescent="0.15">
      <c r="B1098" s="3"/>
      <c r="C1098" s="3"/>
    </row>
    <row r="1099" spans="2:3" ht="12.75" customHeight="1" x14ac:dyDescent="0.15">
      <c r="B1099" s="3"/>
      <c r="C1099" s="3"/>
    </row>
    <row r="1100" spans="2:3" ht="12.75" customHeight="1" x14ac:dyDescent="0.15">
      <c r="B1100" s="3"/>
      <c r="C1100" s="3"/>
    </row>
    <row r="1101" spans="2:3" ht="12.75" customHeight="1" x14ac:dyDescent="0.15">
      <c r="B1101" s="3"/>
      <c r="C1101" s="3"/>
    </row>
    <row r="1102" spans="2:3" ht="12.75" customHeight="1" x14ac:dyDescent="0.15">
      <c r="B1102" s="3"/>
      <c r="C1102" s="3"/>
    </row>
    <row r="1103" spans="2:3" ht="12.75" customHeight="1" x14ac:dyDescent="0.15">
      <c r="B1103" s="3"/>
      <c r="C1103" s="3"/>
    </row>
    <row r="1104" spans="2:3" ht="12.75" customHeight="1" x14ac:dyDescent="0.15">
      <c r="B1104" s="3"/>
      <c r="C1104" s="3"/>
    </row>
    <row r="1105" spans="2:3" ht="12.75" customHeight="1" x14ac:dyDescent="0.15">
      <c r="B1105" s="3"/>
      <c r="C1105" s="3"/>
    </row>
    <row r="1106" spans="2:3" ht="12.75" customHeight="1" x14ac:dyDescent="0.15">
      <c r="B1106" s="3"/>
      <c r="C1106" s="3"/>
    </row>
    <row r="1107" spans="2:3" ht="12.75" customHeight="1" x14ac:dyDescent="0.15">
      <c r="B1107" s="3"/>
      <c r="C1107" s="3"/>
    </row>
    <row r="1108" spans="2:3" ht="12.75" customHeight="1" x14ac:dyDescent="0.15">
      <c r="B1108" s="3"/>
      <c r="C1108" s="3"/>
    </row>
    <row r="1109" spans="2:3" ht="12.75" customHeight="1" x14ac:dyDescent="0.15">
      <c r="B1109" s="3"/>
      <c r="C1109" s="3"/>
    </row>
    <row r="1110" spans="2:3" ht="12.75" customHeight="1" x14ac:dyDescent="0.15">
      <c r="B1110" s="3"/>
      <c r="C1110" s="3"/>
    </row>
    <row r="1111" spans="2:3" ht="12.75" customHeight="1" x14ac:dyDescent="0.15">
      <c r="B1111" s="3"/>
      <c r="C1111" s="3"/>
    </row>
    <row r="1112" spans="2:3" ht="12.75" customHeight="1" x14ac:dyDescent="0.15">
      <c r="B1112" s="3"/>
      <c r="C1112" s="3"/>
    </row>
    <row r="1113" spans="2:3" ht="12.75" customHeight="1" x14ac:dyDescent="0.15">
      <c r="B1113" s="3"/>
      <c r="C1113" s="3"/>
    </row>
    <row r="1114" spans="2:3" ht="12.75" customHeight="1" x14ac:dyDescent="0.15">
      <c r="B1114" s="3"/>
      <c r="C1114" s="3"/>
    </row>
    <row r="1115" spans="2:3" ht="12.75" customHeight="1" x14ac:dyDescent="0.15">
      <c r="B1115" s="3"/>
      <c r="C1115" s="3"/>
    </row>
    <row r="1116" spans="2:3" ht="12.75" customHeight="1" x14ac:dyDescent="0.15">
      <c r="B1116" s="3"/>
      <c r="C1116" s="3"/>
    </row>
    <row r="1117" spans="2:3" ht="12.75" customHeight="1" x14ac:dyDescent="0.15">
      <c r="B1117" s="3"/>
      <c r="C1117" s="3"/>
    </row>
    <row r="1118" spans="2:3" ht="12.75" customHeight="1" x14ac:dyDescent="0.15">
      <c r="B1118" s="3"/>
      <c r="C1118" s="3"/>
    </row>
    <row r="1119" spans="2:3" ht="12.75" customHeight="1" x14ac:dyDescent="0.15">
      <c r="B1119" s="3"/>
      <c r="C1119" s="3"/>
    </row>
    <row r="1120" spans="2:3" ht="12.75" customHeight="1" x14ac:dyDescent="0.15">
      <c r="B1120" s="3"/>
      <c r="C1120" s="3"/>
    </row>
    <row r="1121" spans="2:3" ht="12.75" customHeight="1" x14ac:dyDescent="0.15">
      <c r="B1121" s="3"/>
      <c r="C1121" s="3"/>
    </row>
    <row r="1122" spans="2:3" ht="12.75" customHeight="1" x14ac:dyDescent="0.15">
      <c r="B1122" s="3"/>
      <c r="C1122" s="3"/>
    </row>
    <row r="1123" spans="2:3" ht="12.75" customHeight="1" x14ac:dyDescent="0.15">
      <c r="B1123" s="3"/>
      <c r="C1123" s="3"/>
    </row>
    <row r="1124" spans="2:3" ht="12.75" customHeight="1" x14ac:dyDescent="0.15">
      <c r="B1124" s="3"/>
      <c r="C1124" s="3"/>
    </row>
    <row r="1125" spans="2:3" ht="12.75" customHeight="1" x14ac:dyDescent="0.15">
      <c r="B1125" s="3"/>
      <c r="C1125" s="3"/>
    </row>
    <row r="1126" spans="2:3" ht="12.75" customHeight="1" x14ac:dyDescent="0.15">
      <c r="B1126" s="3"/>
      <c r="C1126" s="3"/>
    </row>
    <row r="1127" spans="2:3" ht="12.75" customHeight="1" x14ac:dyDescent="0.15">
      <c r="B1127" s="3"/>
      <c r="C1127" s="3"/>
    </row>
    <row r="1128" spans="2:3" ht="12.75" customHeight="1" x14ac:dyDescent="0.15">
      <c r="B1128" s="3"/>
      <c r="C1128" s="3"/>
    </row>
    <row r="1129" spans="2:3" ht="12.75" customHeight="1" x14ac:dyDescent="0.15">
      <c r="B1129" s="3"/>
      <c r="C1129" s="3"/>
    </row>
    <row r="1130" spans="2:3" ht="12.75" customHeight="1" x14ac:dyDescent="0.15">
      <c r="B1130" s="3"/>
      <c r="C1130" s="3"/>
    </row>
    <row r="1131" spans="2:3" ht="12.75" customHeight="1" x14ac:dyDescent="0.15">
      <c r="B1131" s="3"/>
      <c r="C1131" s="3"/>
    </row>
    <row r="1132" spans="2:3" ht="12.75" customHeight="1" x14ac:dyDescent="0.15">
      <c r="B1132" s="3"/>
      <c r="C1132" s="3"/>
    </row>
    <row r="1133" spans="2:3" ht="12.75" customHeight="1" x14ac:dyDescent="0.15">
      <c r="B1133" s="3"/>
      <c r="C1133" s="3"/>
    </row>
    <row r="1134" spans="2:3" ht="12.75" customHeight="1" x14ac:dyDescent="0.15">
      <c r="B1134" s="3"/>
      <c r="C1134" s="3"/>
    </row>
    <row r="1135" spans="2:3" ht="12.75" customHeight="1" x14ac:dyDescent="0.15">
      <c r="B1135" s="3"/>
      <c r="C1135" s="3"/>
    </row>
    <row r="1136" spans="2:3" ht="12.75" customHeight="1" x14ac:dyDescent="0.15">
      <c r="B1136" s="3"/>
      <c r="C1136" s="3"/>
    </row>
    <row r="1137" spans="2:3" ht="12.75" customHeight="1" x14ac:dyDescent="0.15">
      <c r="B1137" s="3"/>
      <c r="C1137" s="3"/>
    </row>
    <row r="1138" spans="2:3" ht="12.75" customHeight="1" x14ac:dyDescent="0.15">
      <c r="B1138" s="3"/>
      <c r="C1138" s="3"/>
    </row>
    <row r="1139" spans="2:3" ht="12.75" customHeight="1" x14ac:dyDescent="0.15">
      <c r="B1139" s="3"/>
      <c r="C1139" s="3"/>
    </row>
    <row r="1140" spans="2:3" ht="12.75" customHeight="1" x14ac:dyDescent="0.15">
      <c r="B1140" s="3"/>
      <c r="C1140" s="3"/>
    </row>
    <row r="1141" spans="2:3" ht="12.75" customHeight="1" x14ac:dyDescent="0.15">
      <c r="B1141" s="3"/>
      <c r="C1141" s="3"/>
    </row>
    <row r="1142" spans="2:3" ht="12.75" customHeight="1" x14ac:dyDescent="0.15">
      <c r="B1142" s="3"/>
      <c r="C1142" s="3"/>
    </row>
    <row r="1143" spans="2:3" ht="12.75" customHeight="1" x14ac:dyDescent="0.15">
      <c r="B1143" s="3"/>
      <c r="C1143" s="3"/>
    </row>
    <row r="1144" spans="2:3" ht="12.75" customHeight="1" x14ac:dyDescent="0.15">
      <c r="B1144" s="3"/>
      <c r="C1144" s="3"/>
    </row>
    <row r="1145" spans="2:3" ht="12.75" customHeight="1" x14ac:dyDescent="0.15">
      <c r="B1145" s="3"/>
      <c r="C1145" s="3"/>
    </row>
    <row r="1146" spans="2:3" ht="12.75" customHeight="1" x14ac:dyDescent="0.15">
      <c r="B1146" s="3"/>
      <c r="C1146" s="3"/>
    </row>
    <row r="1147" spans="2:3" ht="12.75" customHeight="1" x14ac:dyDescent="0.15">
      <c r="B1147" s="3"/>
      <c r="C1147" s="3"/>
    </row>
    <row r="1148" spans="2:3" ht="12.75" customHeight="1" x14ac:dyDescent="0.15">
      <c r="B1148" s="3"/>
      <c r="C1148" s="3"/>
    </row>
    <row r="1149" spans="2:3" ht="12.75" customHeight="1" x14ac:dyDescent="0.15">
      <c r="B1149" s="3"/>
      <c r="C1149" s="3"/>
    </row>
    <row r="1150" spans="2:3" ht="12.75" customHeight="1" x14ac:dyDescent="0.15">
      <c r="B1150" s="3"/>
      <c r="C1150" s="3"/>
    </row>
    <row r="1151" spans="2:3" ht="12.75" customHeight="1" x14ac:dyDescent="0.15">
      <c r="B1151" s="3"/>
      <c r="C1151" s="3"/>
    </row>
    <row r="1152" spans="2:3" ht="12.75" customHeight="1" x14ac:dyDescent="0.15">
      <c r="B1152" s="3"/>
      <c r="C1152" s="3"/>
    </row>
    <row r="1153" spans="2:3" ht="12.75" customHeight="1" x14ac:dyDescent="0.15">
      <c r="B1153" s="3"/>
      <c r="C1153" s="3"/>
    </row>
    <row r="1154" spans="2:3" ht="12.75" customHeight="1" x14ac:dyDescent="0.15">
      <c r="B1154" s="3"/>
      <c r="C1154" s="3"/>
    </row>
    <row r="1155" spans="2:3" ht="12.75" customHeight="1" x14ac:dyDescent="0.15">
      <c r="B1155" s="3"/>
      <c r="C1155" s="3"/>
    </row>
    <row r="1156" spans="2:3" ht="12.75" customHeight="1" x14ac:dyDescent="0.15">
      <c r="B1156" s="3"/>
      <c r="C1156" s="3"/>
    </row>
    <row r="1157" spans="2:3" ht="12.75" customHeight="1" x14ac:dyDescent="0.15">
      <c r="B1157" s="3"/>
      <c r="C1157" s="3"/>
    </row>
    <row r="1158" spans="2:3" ht="12.75" customHeight="1" x14ac:dyDescent="0.15">
      <c r="B1158" s="3"/>
      <c r="C1158" s="3"/>
    </row>
    <row r="1159" spans="2:3" ht="12.75" customHeight="1" x14ac:dyDescent="0.15">
      <c r="B1159" s="3"/>
      <c r="C1159" s="3"/>
    </row>
    <row r="1160" spans="2:3" ht="12.75" customHeight="1" x14ac:dyDescent="0.15">
      <c r="B1160" s="3"/>
      <c r="C1160" s="3"/>
    </row>
    <row r="1161" spans="2:3" ht="12.75" customHeight="1" x14ac:dyDescent="0.15">
      <c r="B1161" s="3"/>
      <c r="C1161" s="3"/>
    </row>
    <row r="1162" spans="2:3" ht="12.75" customHeight="1" x14ac:dyDescent="0.15">
      <c r="B1162" s="3"/>
      <c r="C1162" s="3"/>
    </row>
    <row r="1163" spans="2:3" ht="12.75" customHeight="1" x14ac:dyDescent="0.15">
      <c r="B1163" s="3"/>
      <c r="C1163" s="3"/>
    </row>
    <row r="1164" spans="2:3" ht="12.75" customHeight="1" x14ac:dyDescent="0.15">
      <c r="B1164" s="3"/>
      <c r="C1164" s="3"/>
    </row>
    <row r="1165" spans="2:3" ht="12.75" customHeight="1" x14ac:dyDescent="0.15">
      <c r="B1165" s="3"/>
      <c r="C1165" s="3"/>
    </row>
    <row r="1166" spans="2:3" ht="12.75" customHeight="1" x14ac:dyDescent="0.15">
      <c r="B1166" s="3"/>
      <c r="C1166" s="3"/>
    </row>
    <row r="1167" spans="2:3" ht="12.75" customHeight="1" x14ac:dyDescent="0.15">
      <c r="B1167" s="3"/>
      <c r="C1167" s="3"/>
    </row>
    <row r="1168" spans="2:3" ht="12.75" customHeight="1" x14ac:dyDescent="0.15">
      <c r="B1168" s="3"/>
      <c r="C1168" s="3"/>
    </row>
    <row r="1169" spans="2:3" ht="12.75" customHeight="1" x14ac:dyDescent="0.15">
      <c r="B1169" s="3"/>
      <c r="C1169" s="3"/>
    </row>
    <row r="1170" spans="2:3" ht="12.75" customHeight="1" x14ac:dyDescent="0.15">
      <c r="B1170" s="3"/>
      <c r="C1170" s="3"/>
    </row>
    <row r="1171" spans="2:3" ht="12.75" customHeight="1" x14ac:dyDescent="0.15">
      <c r="B1171" s="3"/>
      <c r="C1171" s="3"/>
    </row>
    <row r="1172" spans="2:3" ht="12.75" customHeight="1" x14ac:dyDescent="0.15">
      <c r="B1172" s="3"/>
      <c r="C1172" s="3"/>
    </row>
    <row r="1173" spans="2:3" ht="12.75" customHeight="1" x14ac:dyDescent="0.15">
      <c r="B1173" s="3"/>
      <c r="C1173" s="3"/>
    </row>
    <row r="1174" spans="2:3" ht="12.75" customHeight="1" x14ac:dyDescent="0.15">
      <c r="B1174" s="3"/>
      <c r="C1174" s="3"/>
    </row>
    <row r="1175" spans="2:3" ht="12.75" customHeight="1" x14ac:dyDescent="0.15">
      <c r="B1175" s="3"/>
      <c r="C1175" s="3"/>
    </row>
    <row r="1176" spans="2:3" ht="12.75" customHeight="1" x14ac:dyDescent="0.15">
      <c r="B1176" s="3"/>
      <c r="C1176" s="3"/>
    </row>
    <row r="1177" spans="2:3" ht="12.75" customHeight="1" x14ac:dyDescent="0.15">
      <c r="B1177" s="3"/>
      <c r="C1177" s="3"/>
    </row>
    <row r="1178" spans="2:3" ht="12.75" customHeight="1" x14ac:dyDescent="0.15">
      <c r="B1178" s="3"/>
      <c r="C1178" s="3"/>
    </row>
    <row r="1179" spans="2:3" ht="12.75" customHeight="1" x14ac:dyDescent="0.15">
      <c r="B1179" s="3"/>
      <c r="C1179" s="3"/>
    </row>
    <row r="1180" spans="2:3" ht="12.75" customHeight="1" x14ac:dyDescent="0.15">
      <c r="B1180" s="3"/>
      <c r="C1180" s="3"/>
    </row>
    <row r="1181" spans="2:3" ht="12.75" customHeight="1" x14ac:dyDescent="0.15">
      <c r="B1181" s="3"/>
      <c r="C1181" s="3"/>
    </row>
    <row r="1182" spans="2:3" ht="12.75" customHeight="1" x14ac:dyDescent="0.15">
      <c r="B1182" s="3"/>
      <c r="C1182" s="3"/>
    </row>
    <row r="1183" spans="2:3" ht="12.75" customHeight="1" x14ac:dyDescent="0.15">
      <c r="B1183" s="3"/>
      <c r="C1183" s="3"/>
    </row>
    <row r="1184" spans="2:3" ht="12.75" customHeight="1" x14ac:dyDescent="0.15">
      <c r="B1184" s="3"/>
      <c r="C1184" s="3"/>
    </row>
    <row r="1185" spans="2:3" ht="12.75" customHeight="1" x14ac:dyDescent="0.15">
      <c r="B1185" s="3"/>
      <c r="C1185" s="3"/>
    </row>
    <row r="1186" spans="2:3" ht="12.75" customHeight="1" x14ac:dyDescent="0.15">
      <c r="B1186" s="3"/>
      <c r="C1186" s="3"/>
    </row>
    <row r="1187" spans="2:3" ht="12.75" customHeight="1" x14ac:dyDescent="0.15">
      <c r="B1187" s="3"/>
      <c r="C1187" s="3"/>
    </row>
    <row r="1188" spans="2:3" ht="12.75" customHeight="1" x14ac:dyDescent="0.15">
      <c r="B1188" s="3"/>
      <c r="C1188" s="3"/>
    </row>
    <row r="1189" spans="2:3" ht="12.75" customHeight="1" x14ac:dyDescent="0.15">
      <c r="B1189" s="3"/>
      <c r="C1189" s="3"/>
    </row>
    <row r="1190" spans="2:3" ht="12.75" customHeight="1" x14ac:dyDescent="0.15">
      <c r="B1190" s="3"/>
      <c r="C1190" s="3"/>
    </row>
    <row r="1191" spans="2:3" ht="12.75" customHeight="1" x14ac:dyDescent="0.15">
      <c r="B1191" s="3"/>
      <c r="C1191" s="3"/>
    </row>
    <row r="1192" spans="2:3" ht="12.75" customHeight="1" x14ac:dyDescent="0.15">
      <c r="B1192" s="3"/>
      <c r="C1192" s="3"/>
    </row>
    <row r="1193" spans="2:3" ht="12.75" customHeight="1" x14ac:dyDescent="0.15">
      <c r="B1193" s="3"/>
      <c r="C1193" s="3"/>
    </row>
    <row r="1194" spans="2:3" ht="12.75" customHeight="1" x14ac:dyDescent="0.15">
      <c r="B1194" s="3"/>
      <c r="C1194" s="3"/>
    </row>
    <row r="1195" spans="2:3" ht="12.75" customHeight="1" x14ac:dyDescent="0.15">
      <c r="B1195" s="3"/>
      <c r="C1195" s="3"/>
    </row>
    <row r="1196" spans="2:3" ht="12.75" customHeight="1" x14ac:dyDescent="0.15">
      <c r="B1196" s="3"/>
      <c r="C1196" s="3"/>
    </row>
    <row r="1197" spans="2:3" ht="12.75" customHeight="1" x14ac:dyDescent="0.15">
      <c r="B1197" s="3"/>
      <c r="C1197" s="3"/>
    </row>
    <row r="1198" spans="2:3" ht="12.75" customHeight="1" x14ac:dyDescent="0.15">
      <c r="B1198" s="3"/>
      <c r="C1198" s="3"/>
    </row>
    <row r="1199" spans="2:3" ht="12.75" customHeight="1" x14ac:dyDescent="0.15">
      <c r="B1199" s="3"/>
      <c r="C1199" s="3"/>
    </row>
    <row r="1200" spans="2:3" ht="12.75" customHeight="1" x14ac:dyDescent="0.15">
      <c r="B1200" s="3"/>
      <c r="C1200" s="3"/>
    </row>
    <row r="1201" spans="2:3" ht="12.75" customHeight="1" x14ac:dyDescent="0.15">
      <c r="B1201" s="3"/>
      <c r="C1201" s="3"/>
    </row>
    <row r="1202" spans="2:3" ht="12.75" customHeight="1" x14ac:dyDescent="0.15">
      <c r="B1202" s="3"/>
      <c r="C1202" s="3"/>
    </row>
    <row r="1203" spans="2:3" ht="12.75" customHeight="1" x14ac:dyDescent="0.15">
      <c r="B1203" s="3"/>
      <c r="C1203" s="3"/>
    </row>
    <row r="1204" spans="2:3" ht="12.75" customHeight="1" x14ac:dyDescent="0.15">
      <c r="B1204" s="3"/>
      <c r="C1204" s="3"/>
    </row>
    <row r="1205" spans="2:3" ht="12.75" customHeight="1" x14ac:dyDescent="0.15">
      <c r="B1205" s="3"/>
      <c r="C1205" s="3"/>
    </row>
    <row r="1206" spans="2:3" ht="12.75" customHeight="1" x14ac:dyDescent="0.15">
      <c r="B1206" s="3"/>
      <c r="C1206" s="3"/>
    </row>
    <row r="1207" spans="2:3" ht="12.75" customHeight="1" x14ac:dyDescent="0.15">
      <c r="B1207" s="3"/>
      <c r="C1207" s="3"/>
    </row>
    <row r="1208" spans="2:3" ht="12.75" customHeight="1" x14ac:dyDescent="0.15">
      <c r="B1208" s="3"/>
      <c r="C1208" s="3"/>
    </row>
    <row r="1209" spans="2:3" ht="12.75" customHeight="1" x14ac:dyDescent="0.15">
      <c r="B1209" s="3"/>
      <c r="C1209" s="3"/>
    </row>
    <row r="1210" spans="2:3" ht="12.75" customHeight="1" x14ac:dyDescent="0.15">
      <c r="B1210" s="3"/>
      <c r="C1210" s="3"/>
    </row>
    <row r="1211" spans="2:3" ht="12.75" customHeight="1" x14ac:dyDescent="0.15">
      <c r="B1211" s="3"/>
      <c r="C1211" s="3"/>
    </row>
    <row r="1212" spans="2:3" ht="12.75" customHeight="1" x14ac:dyDescent="0.15">
      <c r="B1212" s="3"/>
      <c r="C1212" s="3"/>
    </row>
    <row r="1213" spans="2:3" ht="12.75" customHeight="1" x14ac:dyDescent="0.15">
      <c r="B1213" s="3"/>
      <c r="C1213" s="3"/>
    </row>
    <row r="1214" spans="2:3" ht="12.75" customHeight="1" x14ac:dyDescent="0.15">
      <c r="B1214" s="3"/>
      <c r="C1214" s="3"/>
    </row>
    <row r="1215" spans="2:3" ht="12.75" customHeight="1" x14ac:dyDescent="0.15">
      <c r="B1215" s="3"/>
      <c r="C1215" s="3"/>
    </row>
    <row r="1216" spans="2:3" ht="12.75" customHeight="1" x14ac:dyDescent="0.15">
      <c r="B1216" s="3"/>
      <c r="C1216" s="3"/>
    </row>
    <row r="1217" spans="2:3" ht="12.75" customHeight="1" x14ac:dyDescent="0.15">
      <c r="B1217" s="3"/>
      <c r="C1217" s="3"/>
    </row>
    <row r="1218" spans="2:3" ht="12.75" customHeight="1" x14ac:dyDescent="0.15">
      <c r="B1218" s="3"/>
      <c r="C1218" s="3"/>
    </row>
    <row r="1219" spans="2:3" ht="12.75" customHeight="1" x14ac:dyDescent="0.15">
      <c r="B1219" s="3"/>
      <c r="C1219" s="3"/>
    </row>
    <row r="1220" spans="2:3" ht="12.75" customHeight="1" x14ac:dyDescent="0.15">
      <c r="B1220" s="3"/>
      <c r="C1220" s="3"/>
    </row>
    <row r="1221" spans="2:3" ht="12.75" customHeight="1" x14ac:dyDescent="0.15">
      <c r="B1221" s="3"/>
      <c r="C1221" s="3"/>
    </row>
    <row r="1222" spans="2:3" ht="12.75" customHeight="1" x14ac:dyDescent="0.15">
      <c r="B1222" s="3"/>
      <c r="C1222" s="3"/>
    </row>
    <row r="1223" spans="2:3" ht="12.75" customHeight="1" x14ac:dyDescent="0.15">
      <c r="B1223" s="3"/>
      <c r="C1223" s="3"/>
    </row>
    <row r="1224" spans="2:3" ht="12.75" customHeight="1" x14ac:dyDescent="0.15">
      <c r="B1224" s="3"/>
      <c r="C1224" s="3"/>
    </row>
    <row r="1225" spans="2:3" ht="12.75" customHeight="1" x14ac:dyDescent="0.15">
      <c r="B1225" s="3"/>
      <c r="C1225" s="3"/>
    </row>
    <row r="1226" spans="2:3" ht="12.75" customHeight="1" x14ac:dyDescent="0.15">
      <c r="B1226" s="3"/>
      <c r="C1226" s="3"/>
    </row>
    <row r="1227" spans="2:3" ht="12.75" customHeight="1" x14ac:dyDescent="0.15">
      <c r="B1227" s="3"/>
      <c r="C1227" s="3"/>
    </row>
    <row r="1228" spans="2:3" ht="12.75" customHeight="1" x14ac:dyDescent="0.15">
      <c r="B1228" s="3"/>
      <c r="C1228" s="3"/>
    </row>
    <row r="1229" spans="2:3" ht="12.75" customHeight="1" x14ac:dyDescent="0.15">
      <c r="B1229" s="3"/>
      <c r="C1229" s="3"/>
    </row>
    <row r="1230" spans="2:3" ht="12.75" customHeight="1" x14ac:dyDescent="0.15">
      <c r="B1230" s="3"/>
      <c r="C1230" s="3"/>
    </row>
    <row r="1231" spans="2:3" ht="12.75" customHeight="1" x14ac:dyDescent="0.15">
      <c r="B1231" s="3"/>
      <c r="C1231" s="3"/>
    </row>
    <row r="1232" spans="2:3" ht="12.75" customHeight="1" x14ac:dyDescent="0.15">
      <c r="B1232" s="3"/>
      <c r="C1232" s="3"/>
    </row>
    <row r="1233" spans="2:3" ht="12.75" customHeight="1" x14ac:dyDescent="0.15">
      <c r="B1233" s="3"/>
      <c r="C1233" s="3"/>
    </row>
    <row r="1234" spans="2:3" ht="12.75" customHeight="1" x14ac:dyDescent="0.15">
      <c r="B1234" s="3"/>
      <c r="C1234" s="3"/>
    </row>
    <row r="1235" spans="2:3" ht="12.75" customHeight="1" x14ac:dyDescent="0.15">
      <c r="B1235" s="3"/>
      <c r="C1235" s="3"/>
    </row>
    <row r="1236" spans="2:3" ht="12.75" customHeight="1" x14ac:dyDescent="0.15">
      <c r="B1236" s="3"/>
      <c r="C1236" s="3"/>
    </row>
    <row r="1237" spans="2:3" ht="12.75" customHeight="1" x14ac:dyDescent="0.15">
      <c r="B1237" s="3"/>
      <c r="C1237" s="3"/>
    </row>
    <row r="1238" spans="2:3" ht="12.75" customHeight="1" x14ac:dyDescent="0.15">
      <c r="B1238" s="3"/>
      <c r="C1238" s="3"/>
    </row>
    <row r="1239" spans="2:3" ht="12.75" customHeight="1" x14ac:dyDescent="0.15">
      <c r="B1239" s="3"/>
      <c r="C1239" s="3"/>
    </row>
    <row r="1240" spans="2:3" ht="12.75" customHeight="1" x14ac:dyDescent="0.15">
      <c r="B1240" s="3"/>
      <c r="C1240" s="3"/>
    </row>
    <row r="1241" spans="2:3" ht="12.75" customHeight="1" x14ac:dyDescent="0.15">
      <c r="B1241" s="3"/>
      <c r="C1241" s="3"/>
    </row>
    <row r="1242" spans="2:3" ht="12.75" customHeight="1" x14ac:dyDescent="0.15">
      <c r="B1242" s="3"/>
      <c r="C1242" s="3"/>
    </row>
    <row r="1243" spans="2:3" ht="12.75" customHeight="1" x14ac:dyDescent="0.15">
      <c r="B1243" s="3"/>
      <c r="C1243" s="3"/>
    </row>
    <row r="1244" spans="2:3" ht="12.75" customHeight="1" x14ac:dyDescent="0.15">
      <c r="B1244" s="3"/>
      <c r="C1244" s="3"/>
    </row>
    <row r="1245" spans="2:3" ht="12.75" customHeight="1" x14ac:dyDescent="0.15">
      <c r="B1245" s="3"/>
      <c r="C1245" s="3"/>
    </row>
    <row r="1246" spans="2:3" ht="12.75" customHeight="1" x14ac:dyDescent="0.15">
      <c r="B1246" s="3"/>
      <c r="C1246" s="3"/>
    </row>
    <row r="1247" spans="2:3" ht="12.75" customHeight="1" x14ac:dyDescent="0.15">
      <c r="B1247" s="3"/>
      <c r="C1247" s="3"/>
    </row>
    <row r="1248" spans="2:3" ht="12.75" customHeight="1" x14ac:dyDescent="0.15">
      <c r="B1248" s="3"/>
      <c r="C1248" s="3"/>
    </row>
    <row r="1249" spans="2:3" ht="12.75" customHeight="1" x14ac:dyDescent="0.15">
      <c r="B1249" s="3"/>
      <c r="C1249" s="3"/>
    </row>
    <row r="1250" spans="2:3" ht="12.75" customHeight="1" x14ac:dyDescent="0.15">
      <c r="B1250" s="3"/>
      <c r="C1250" s="3"/>
    </row>
    <row r="1251" spans="2:3" ht="12.75" customHeight="1" x14ac:dyDescent="0.15">
      <c r="B1251" s="3"/>
      <c r="C1251" s="3"/>
    </row>
    <row r="1252" spans="2:3" ht="12.75" customHeight="1" x14ac:dyDescent="0.15">
      <c r="B1252" s="3"/>
      <c r="C1252" s="3"/>
    </row>
    <row r="1253" spans="2:3" ht="12.75" customHeight="1" x14ac:dyDescent="0.15">
      <c r="B1253" s="3"/>
      <c r="C1253" s="3"/>
    </row>
    <row r="1254" spans="2:3" ht="12.75" customHeight="1" x14ac:dyDescent="0.15">
      <c r="B1254" s="3"/>
      <c r="C1254" s="3"/>
    </row>
    <row r="1255" spans="2:3" ht="12.75" customHeight="1" x14ac:dyDescent="0.15">
      <c r="B1255" s="3"/>
      <c r="C1255" s="3"/>
    </row>
    <row r="1256" spans="2:3" ht="12.75" customHeight="1" x14ac:dyDescent="0.15">
      <c r="B1256" s="3"/>
      <c r="C1256" s="3"/>
    </row>
    <row r="1257" spans="2:3" ht="12.75" customHeight="1" x14ac:dyDescent="0.15">
      <c r="B1257" s="3"/>
      <c r="C1257" s="3"/>
    </row>
    <row r="1258" spans="2:3" ht="12.75" customHeight="1" x14ac:dyDescent="0.15">
      <c r="B1258" s="3"/>
      <c r="C1258" s="3"/>
    </row>
    <row r="1259" spans="2:3" ht="12.75" customHeight="1" x14ac:dyDescent="0.15">
      <c r="B1259" s="3"/>
      <c r="C1259" s="3"/>
    </row>
    <row r="1260" spans="2:3" ht="12.75" customHeight="1" x14ac:dyDescent="0.15">
      <c r="B1260" s="3"/>
      <c r="C1260" s="3"/>
    </row>
    <row r="1261" spans="2:3" ht="12.75" customHeight="1" x14ac:dyDescent="0.15">
      <c r="B1261" s="3"/>
      <c r="C1261" s="3"/>
    </row>
    <row r="1262" spans="2:3" ht="12.75" customHeight="1" x14ac:dyDescent="0.15">
      <c r="B1262" s="3"/>
      <c r="C1262" s="3"/>
    </row>
    <row r="1263" spans="2:3" ht="12.75" customHeight="1" x14ac:dyDescent="0.15">
      <c r="B1263" s="3"/>
      <c r="C1263" s="3"/>
    </row>
    <row r="1264" spans="2:3" ht="12.75" customHeight="1" x14ac:dyDescent="0.15">
      <c r="B1264" s="3"/>
      <c r="C1264" s="3"/>
    </row>
    <row r="1265" spans="2:3" ht="12.75" customHeight="1" x14ac:dyDescent="0.15">
      <c r="B1265" s="3"/>
      <c r="C1265" s="3"/>
    </row>
    <row r="1266" spans="2:3" ht="12.75" customHeight="1" x14ac:dyDescent="0.15">
      <c r="B1266" s="3"/>
      <c r="C1266" s="3"/>
    </row>
    <row r="1267" spans="2:3" ht="12.75" customHeight="1" x14ac:dyDescent="0.15">
      <c r="B1267" s="3"/>
      <c r="C1267" s="3"/>
    </row>
    <row r="1268" spans="2:3" ht="12.75" customHeight="1" x14ac:dyDescent="0.15">
      <c r="B1268" s="3"/>
      <c r="C1268" s="3"/>
    </row>
    <row r="1269" spans="2:3" ht="12.75" customHeight="1" x14ac:dyDescent="0.15">
      <c r="B1269" s="3"/>
      <c r="C1269" s="3"/>
    </row>
    <row r="1270" spans="2:3" ht="12.75" customHeight="1" x14ac:dyDescent="0.15">
      <c r="B1270" s="3"/>
      <c r="C1270" s="3"/>
    </row>
    <row r="1271" spans="2:3" ht="12.75" customHeight="1" x14ac:dyDescent="0.15">
      <c r="B1271" s="3"/>
      <c r="C1271" s="3"/>
    </row>
    <row r="1272" spans="2:3" ht="12.75" customHeight="1" x14ac:dyDescent="0.15">
      <c r="B1272" s="3"/>
      <c r="C1272" s="3"/>
    </row>
    <row r="1273" spans="2:3" ht="12.75" customHeight="1" x14ac:dyDescent="0.15">
      <c r="B1273" s="3"/>
      <c r="C1273" s="3"/>
    </row>
    <row r="1274" spans="2:3" ht="12.75" customHeight="1" x14ac:dyDescent="0.15">
      <c r="B1274" s="3"/>
      <c r="C1274" s="3"/>
    </row>
    <row r="1275" spans="2:3" ht="12.75" customHeight="1" x14ac:dyDescent="0.15">
      <c r="B1275" s="3"/>
      <c r="C1275" s="3"/>
    </row>
    <row r="1276" spans="2:3" ht="12.75" customHeight="1" x14ac:dyDescent="0.15">
      <c r="B1276" s="3"/>
      <c r="C1276" s="3"/>
    </row>
    <row r="1277" spans="2:3" ht="12.75" customHeight="1" x14ac:dyDescent="0.15">
      <c r="B1277" s="3"/>
      <c r="C1277" s="3"/>
    </row>
    <row r="1278" spans="2:3" ht="12.75" customHeight="1" x14ac:dyDescent="0.15">
      <c r="B1278" s="3"/>
      <c r="C1278" s="3"/>
    </row>
    <row r="1279" spans="2:3" ht="12.75" customHeight="1" x14ac:dyDescent="0.15">
      <c r="B1279" s="3"/>
      <c r="C1279" s="3"/>
    </row>
    <row r="1280" spans="2:3" ht="12.75" customHeight="1" x14ac:dyDescent="0.15">
      <c r="B1280" s="3"/>
      <c r="C1280" s="3"/>
    </row>
    <row r="1281" spans="2:3" ht="12.75" customHeight="1" x14ac:dyDescent="0.15">
      <c r="B1281" s="3"/>
      <c r="C1281" s="3"/>
    </row>
    <row r="1282" spans="2:3" ht="12.75" customHeight="1" x14ac:dyDescent="0.15">
      <c r="B1282" s="3"/>
      <c r="C1282" s="3"/>
    </row>
    <row r="1283" spans="2:3" ht="12.75" customHeight="1" x14ac:dyDescent="0.15">
      <c r="B1283" s="3"/>
      <c r="C1283" s="3"/>
    </row>
    <row r="1284" spans="2:3" ht="12.75" customHeight="1" x14ac:dyDescent="0.15">
      <c r="B1284" s="3"/>
      <c r="C1284" s="3"/>
    </row>
    <row r="1285" spans="2:3" ht="12.75" customHeight="1" x14ac:dyDescent="0.15">
      <c r="B1285" s="3"/>
      <c r="C1285" s="3"/>
    </row>
    <row r="1286" spans="2:3" ht="12.75" customHeight="1" x14ac:dyDescent="0.15">
      <c r="B1286" s="3"/>
      <c r="C1286" s="3"/>
    </row>
    <row r="1287" spans="2:3" ht="12.75" customHeight="1" x14ac:dyDescent="0.15">
      <c r="B1287" s="3"/>
      <c r="C1287" s="3"/>
    </row>
    <row r="1288" spans="2:3" ht="12.75" customHeight="1" x14ac:dyDescent="0.15">
      <c r="B1288" s="3"/>
      <c r="C1288" s="3"/>
    </row>
    <row r="1289" spans="2:3" ht="12.75" customHeight="1" x14ac:dyDescent="0.15">
      <c r="B1289" s="3"/>
      <c r="C1289" s="3"/>
    </row>
    <row r="1290" spans="2:3" ht="12.75" customHeight="1" x14ac:dyDescent="0.15">
      <c r="B1290" s="3"/>
      <c r="C1290" s="3"/>
    </row>
    <row r="1291" spans="2:3" ht="12.75" customHeight="1" x14ac:dyDescent="0.15">
      <c r="B1291" s="3"/>
      <c r="C1291" s="3"/>
    </row>
    <row r="1292" spans="2:3" ht="12.75" customHeight="1" x14ac:dyDescent="0.15">
      <c r="B1292" s="3"/>
      <c r="C1292" s="3"/>
    </row>
    <row r="1293" spans="2:3" ht="12.75" customHeight="1" x14ac:dyDescent="0.15">
      <c r="B1293" s="3"/>
      <c r="C1293" s="3"/>
    </row>
    <row r="1294" spans="2:3" ht="12.75" customHeight="1" x14ac:dyDescent="0.15">
      <c r="B1294" s="3"/>
      <c r="C1294" s="3"/>
    </row>
    <row r="1295" spans="2:3" ht="12.75" customHeight="1" x14ac:dyDescent="0.15">
      <c r="B1295" s="3"/>
      <c r="C1295" s="3"/>
    </row>
    <row r="1296" spans="2:3" ht="12.75" customHeight="1" x14ac:dyDescent="0.15">
      <c r="B1296" s="3"/>
      <c r="C1296" s="3"/>
    </row>
    <row r="1297" spans="2:3" ht="12.75" customHeight="1" x14ac:dyDescent="0.15">
      <c r="B1297" s="3"/>
      <c r="C1297" s="3"/>
    </row>
    <row r="1298" spans="2:3" ht="12.75" customHeight="1" x14ac:dyDescent="0.15">
      <c r="B1298" s="3"/>
      <c r="C1298" s="3"/>
    </row>
    <row r="1299" spans="2:3" ht="12.75" customHeight="1" x14ac:dyDescent="0.15">
      <c r="B1299" s="3"/>
      <c r="C1299" s="3"/>
    </row>
    <row r="1300" spans="2:3" ht="12.75" customHeight="1" x14ac:dyDescent="0.15">
      <c r="B1300" s="3"/>
      <c r="C1300" s="3"/>
    </row>
    <row r="1301" spans="2:3" ht="12.75" customHeight="1" x14ac:dyDescent="0.15">
      <c r="B1301" s="3"/>
      <c r="C1301" s="3"/>
    </row>
    <row r="1302" spans="2:3" ht="12.75" customHeight="1" x14ac:dyDescent="0.15">
      <c r="B1302" s="3"/>
      <c r="C1302" s="3"/>
    </row>
    <row r="1303" spans="2:3" ht="12.75" customHeight="1" x14ac:dyDescent="0.15">
      <c r="B1303" s="3"/>
      <c r="C1303" s="3"/>
    </row>
    <row r="1304" spans="2:3" ht="12.75" customHeight="1" x14ac:dyDescent="0.15">
      <c r="B1304" s="3"/>
      <c r="C1304" s="3"/>
    </row>
    <row r="1305" spans="2:3" ht="12.75" customHeight="1" x14ac:dyDescent="0.15">
      <c r="B1305" s="3"/>
      <c r="C1305" s="3"/>
    </row>
    <row r="1306" spans="2:3" ht="12.75" customHeight="1" x14ac:dyDescent="0.15">
      <c r="B1306" s="3"/>
      <c r="C1306" s="3"/>
    </row>
    <row r="1307" spans="2:3" ht="12.75" customHeight="1" x14ac:dyDescent="0.15">
      <c r="B1307" s="3"/>
      <c r="C1307" s="3"/>
    </row>
    <row r="1308" spans="2:3" ht="12.75" customHeight="1" x14ac:dyDescent="0.15">
      <c r="B1308" s="3"/>
      <c r="C1308" s="3"/>
    </row>
    <row r="1309" spans="2:3" ht="12.75" customHeight="1" x14ac:dyDescent="0.15">
      <c r="B1309" s="3"/>
      <c r="C1309" s="3"/>
    </row>
    <row r="1310" spans="2:3" ht="12.75" customHeight="1" x14ac:dyDescent="0.15">
      <c r="B1310" s="3"/>
      <c r="C1310" s="3"/>
    </row>
    <row r="1311" spans="2:3" ht="12.75" customHeight="1" x14ac:dyDescent="0.15">
      <c r="B1311" s="3"/>
      <c r="C1311" s="3"/>
    </row>
    <row r="1312" spans="2:3" ht="12.75" customHeight="1" x14ac:dyDescent="0.15">
      <c r="B1312" s="3"/>
      <c r="C1312" s="3"/>
    </row>
    <row r="1313" spans="2:3" ht="12.75" customHeight="1" x14ac:dyDescent="0.15">
      <c r="B1313" s="3"/>
      <c r="C1313" s="3"/>
    </row>
    <row r="1314" spans="2:3" ht="12.75" customHeight="1" x14ac:dyDescent="0.15">
      <c r="B1314" s="3"/>
      <c r="C1314" s="3"/>
    </row>
    <row r="1315" spans="2:3" ht="12.75" customHeight="1" x14ac:dyDescent="0.15">
      <c r="B1315" s="3"/>
      <c r="C1315" s="3"/>
    </row>
    <row r="1316" spans="2:3" ht="12.75" customHeight="1" x14ac:dyDescent="0.15">
      <c r="B1316" s="3"/>
      <c r="C1316" s="3"/>
    </row>
    <row r="1317" spans="2:3" ht="12.75" customHeight="1" x14ac:dyDescent="0.15">
      <c r="B1317" s="3"/>
      <c r="C1317" s="3"/>
    </row>
    <row r="1318" spans="2:3" ht="12.75" customHeight="1" x14ac:dyDescent="0.15">
      <c r="B1318" s="3"/>
      <c r="C1318" s="3"/>
    </row>
    <row r="1319" spans="2:3" ht="12.75" customHeight="1" x14ac:dyDescent="0.15">
      <c r="B1319" s="3"/>
      <c r="C1319" s="3"/>
    </row>
    <row r="1320" spans="2:3" ht="12.75" customHeight="1" x14ac:dyDescent="0.15">
      <c r="B1320" s="3"/>
      <c r="C1320" s="3"/>
    </row>
    <row r="1321" spans="2:3" ht="12.75" customHeight="1" x14ac:dyDescent="0.15">
      <c r="B1321" s="3"/>
      <c r="C1321" s="3"/>
    </row>
    <row r="1322" spans="2:3" ht="12.75" customHeight="1" x14ac:dyDescent="0.15">
      <c r="B1322" s="3"/>
      <c r="C1322" s="3"/>
    </row>
    <row r="1323" spans="2:3" ht="12.75" customHeight="1" x14ac:dyDescent="0.15">
      <c r="B1323" s="3"/>
      <c r="C1323" s="3"/>
    </row>
    <row r="1324" spans="2:3" ht="12.75" customHeight="1" x14ac:dyDescent="0.15">
      <c r="B1324" s="3"/>
      <c r="C1324" s="3"/>
    </row>
    <row r="1325" spans="2:3" ht="12.75" customHeight="1" x14ac:dyDescent="0.15">
      <c r="B1325" s="3"/>
      <c r="C1325" s="3"/>
    </row>
    <row r="1326" spans="2:3" ht="12.75" customHeight="1" x14ac:dyDescent="0.15">
      <c r="B1326" s="3"/>
      <c r="C1326" s="3"/>
    </row>
    <row r="1327" spans="2:3" ht="12.75" customHeight="1" x14ac:dyDescent="0.15">
      <c r="B1327" s="3"/>
      <c r="C1327" s="3"/>
    </row>
    <row r="1328" spans="2:3" ht="12.75" customHeight="1" x14ac:dyDescent="0.15">
      <c r="B1328" s="3"/>
      <c r="C1328" s="3"/>
    </row>
    <row r="1329" spans="2:3" ht="12.75" customHeight="1" x14ac:dyDescent="0.15">
      <c r="B1329" s="3"/>
      <c r="C1329" s="3"/>
    </row>
    <row r="1330" spans="2:3" ht="12.75" customHeight="1" x14ac:dyDescent="0.15">
      <c r="B1330" s="3"/>
      <c r="C1330" s="3"/>
    </row>
    <row r="1331" spans="2:3" ht="12.75" customHeight="1" x14ac:dyDescent="0.15">
      <c r="B1331" s="3"/>
      <c r="C1331" s="3"/>
    </row>
    <row r="1332" spans="2:3" ht="12.75" customHeight="1" x14ac:dyDescent="0.15">
      <c r="B1332" s="3"/>
      <c r="C1332" s="3"/>
    </row>
    <row r="1333" spans="2:3" ht="12.75" customHeight="1" x14ac:dyDescent="0.15">
      <c r="B1333" s="3"/>
      <c r="C1333" s="3"/>
    </row>
    <row r="1334" spans="2:3" ht="12.75" customHeight="1" x14ac:dyDescent="0.15">
      <c r="B1334" s="3"/>
      <c r="C1334" s="3"/>
    </row>
    <row r="1335" spans="2:3" ht="12.75" customHeight="1" x14ac:dyDescent="0.15">
      <c r="B1335" s="3"/>
      <c r="C1335" s="3"/>
    </row>
    <row r="1336" spans="2:3" ht="12.75" customHeight="1" x14ac:dyDescent="0.15">
      <c r="B1336" s="3"/>
      <c r="C1336" s="3"/>
    </row>
    <row r="1337" spans="2:3" ht="12.75" customHeight="1" x14ac:dyDescent="0.15">
      <c r="B1337" s="3"/>
      <c r="C1337" s="3"/>
    </row>
    <row r="1338" spans="2:3" ht="12.75" customHeight="1" x14ac:dyDescent="0.15">
      <c r="B1338" s="3"/>
      <c r="C1338" s="3"/>
    </row>
    <row r="1339" spans="2:3" ht="12.75" customHeight="1" x14ac:dyDescent="0.15">
      <c r="B1339" s="3"/>
      <c r="C1339" s="3"/>
    </row>
    <row r="1340" spans="2:3" ht="12.75" customHeight="1" x14ac:dyDescent="0.15">
      <c r="B1340" s="3"/>
      <c r="C1340" s="3"/>
    </row>
    <row r="1341" spans="2:3" ht="12.75" customHeight="1" x14ac:dyDescent="0.15">
      <c r="B1341" s="3"/>
      <c r="C1341" s="3"/>
    </row>
    <row r="1342" spans="2:3" ht="12.75" customHeight="1" x14ac:dyDescent="0.15">
      <c r="B1342" s="3"/>
      <c r="C1342" s="3"/>
    </row>
    <row r="1343" spans="2:3" ht="12.75" customHeight="1" x14ac:dyDescent="0.15">
      <c r="B1343" s="3"/>
      <c r="C1343" s="3"/>
    </row>
    <row r="1344" spans="2:3" ht="12.75" customHeight="1" x14ac:dyDescent="0.15">
      <c r="B1344" s="3"/>
      <c r="C1344" s="3"/>
    </row>
    <row r="1345" spans="2:3" ht="12.75" customHeight="1" x14ac:dyDescent="0.15">
      <c r="B1345" s="3"/>
      <c r="C1345" s="3"/>
    </row>
    <row r="1346" spans="2:3" ht="12.75" customHeight="1" x14ac:dyDescent="0.15">
      <c r="B1346" s="3"/>
      <c r="C1346" s="3"/>
    </row>
    <row r="1347" spans="2:3" ht="12.75" customHeight="1" x14ac:dyDescent="0.15">
      <c r="B1347" s="3"/>
      <c r="C1347" s="3"/>
    </row>
    <row r="1348" spans="2:3" ht="12.75" customHeight="1" x14ac:dyDescent="0.15">
      <c r="B1348" s="3"/>
      <c r="C1348" s="3"/>
    </row>
    <row r="1349" spans="2:3" ht="12.75" customHeight="1" x14ac:dyDescent="0.15">
      <c r="B1349" s="3"/>
      <c r="C1349" s="3"/>
    </row>
    <row r="1350" spans="2:3" ht="12.75" customHeight="1" x14ac:dyDescent="0.15">
      <c r="B1350" s="3"/>
      <c r="C1350" s="3"/>
    </row>
    <row r="1351" spans="2:3" ht="12.75" customHeight="1" x14ac:dyDescent="0.15">
      <c r="B1351" s="3"/>
      <c r="C1351" s="3"/>
    </row>
    <row r="1352" spans="2:3" ht="12.75" customHeight="1" x14ac:dyDescent="0.15">
      <c r="B1352" s="3"/>
      <c r="C1352" s="3"/>
    </row>
    <row r="1353" spans="2:3" ht="12.75" customHeight="1" x14ac:dyDescent="0.15">
      <c r="B1353" s="3"/>
      <c r="C1353" s="3"/>
    </row>
    <row r="1354" spans="2:3" ht="12.75" customHeight="1" x14ac:dyDescent="0.15">
      <c r="B1354" s="3"/>
      <c r="C1354" s="3"/>
    </row>
    <row r="1355" spans="2:3" ht="12.75" customHeight="1" x14ac:dyDescent="0.15">
      <c r="B1355" s="3"/>
      <c r="C1355" s="3"/>
    </row>
    <row r="1356" spans="2:3" ht="12.75" customHeight="1" x14ac:dyDescent="0.15">
      <c r="B1356" s="3"/>
      <c r="C1356" s="3"/>
    </row>
    <row r="1357" spans="2:3" ht="12.75" customHeight="1" x14ac:dyDescent="0.15">
      <c r="B1357" s="3"/>
      <c r="C1357" s="3"/>
    </row>
    <row r="1358" spans="2:3" ht="12.75" customHeight="1" x14ac:dyDescent="0.15">
      <c r="B1358" s="3"/>
      <c r="C1358" s="3"/>
    </row>
    <row r="1359" spans="2:3" ht="12.75" customHeight="1" x14ac:dyDescent="0.15">
      <c r="B1359" s="3"/>
      <c r="C1359" s="3"/>
    </row>
    <row r="1360" spans="2:3" ht="12.75" customHeight="1" x14ac:dyDescent="0.15">
      <c r="B1360" s="3"/>
      <c r="C1360" s="3"/>
    </row>
    <row r="1361" spans="2:3" ht="12.75" customHeight="1" x14ac:dyDescent="0.15">
      <c r="B1361" s="3"/>
      <c r="C1361" s="3"/>
    </row>
    <row r="1362" spans="2:3" ht="12.75" customHeight="1" x14ac:dyDescent="0.15">
      <c r="B1362" s="3"/>
      <c r="C1362" s="3"/>
    </row>
    <row r="1363" spans="2:3" ht="12.75" customHeight="1" x14ac:dyDescent="0.15">
      <c r="B1363" s="3"/>
      <c r="C1363" s="3"/>
    </row>
    <row r="1364" spans="2:3" ht="12.75" customHeight="1" x14ac:dyDescent="0.15">
      <c r="B1364" s="3"/>
      <c r="C1364" s="3"/>
    </row>
    <row r="1365" spans="2:3" ht="12.75" customHeight="1" x14ac:dyDescent="0.15">
      <c r="B1365" s="3"/>
      <c r="C1365" s="3"/>
    </row>
    <row r="1366" spans="2:3" ht="12.75" customHeight="1" x14ac:dyDescent="0.15">
      <c r="B1366" s="3"/>
      <c r="C1366" s="3"/>
    </row>
    <row r="1367" spans="2:3" ht="12.75" customHeight="1" x14ac:dyDescent="0.15">
      <c r="B1367" s="3"/>
      <c r="C1367" s="3"/>
    </row>
    <row r="1368" spans="2:3" ht="12.75" customHeight="1" x14ac:dyDescent="0.15">
      <c r="B1368" s="3"/>
      <c r="C1368" s="3"/>
    </row>
    <row r="1369" spans="2:3" ht="12.75" customHeight="1" x14ac:dyDescent="0.15">
      <c r="B1369" s="3"/>
      <c r="C1369" s="3"/>
    </row>
    <row r="1370" spans="2:3" ht="12.75" customHeight="1" x14ac:dyDescent="0.15">
      <c r="B1370" s="3"/>
      <c r="C1370" s="3"/>
    </row>
    <row r="1371" spans="2:3" ht="12.75" customHeight="1" x14ac:dyDescent="0.15">
      <c r="B1371" s="3"/>
      <c r="C1371" s="3"/>
    </row>
    <row r="1372" spans="2:3" ht="12.75" customHeight="1" x14ac:dyDescent="0.15">
      <c r="B1372" s="3"/>
      <c r="C1372" s="3"/>
    </row>
    <row r="1373" spans="2:3" ht="12.75" customHeight="1" x14ac:dyDescent="0.15">
      <c r="B1373" s="3"/>
      <c r="C1373" s="3"/>
    </row>
    <row r="1374" spans="2:3" ht="12.75" customHeight="1" x14ac:dyDescent="0.15">
      <c r="B1374" s="3"/>
      <c r="C1374" s="3"/>
    </row>
    <row r="1375" spans="2:3" ht="12.75" customHeight="1" x14ac:dyDescent="0.15">
      <c r="B1375" s="3"/>
      <c r="C1375" s="3"/>
    </row>
    <row r="1376" spans="2:3" ht="12.75" customHeight="1" x14ac:dyDescent="0.15">
      <c r="B1376" s="3"/>
      <c r="C1376" s="3"/>
    </row>
    <row r="1377" spans="2:3" ht="12.75" customHeight="1" x14ac:dyDescent="0.15">
      <c r="B1377" s="3"/>
      <c r="C1377" s="3"/>
    </row>
    <row r="1378" spans="2:3" ht="12.75" customHeight="1" x14ac:dyDescent="0.15">
      <c r="B1378" s="3"/>
      <c r="C1378" s="3"/>
    </row>
    <row r="1379" spans="2:3" ht="12.75" customHeight="1" x14ac:dyDescent="0.15">
      <c r="B1379" s="3"/>
      <c r="C1379" s="3"/>
    </row>
    <row r="1380" spans="2:3" ht="12.75" customHeight="1" x14ac:dyDescent="0.15">
      <c r="B1380" s="3"/>
      <c r="C1380" s="3"/>
    </row>
    <row r="1381" spans="2:3" ht="12.75" customHeight="1" x14ac:dyDescent="0.15">
      <c r="B1381" s="3"/>
      <c r="C1381" s="3"/>
    </row>
    <row r="1382" spans="2:3" ht="12.75" customHeight="1" x14ac:dyDescent="0.15">
      <c r="B1382" s="3"/>
      <c r="C1382" s="3"/>
    </row>
    <row r="1383" spans="2:3" ht="12.75" customHeight="1" x14ac:dyDescent="0.15">
      <c r="B1383" s="3"/>
      <c r="C1383" s="3"/>
    </row>
    <row r="1384" spans="2:3" ht="12.75" customHeight="1" x14ac:dyDescent="0.15">
      <c r="B1384" s="3"/>
      <c r="C1384" s="3"/>
    </row>
    <row r="1385" spans="2:3" ht="12.75" customHeight="1" x14ac:dyDescent="0.15">
      <c r="B1385" s="3"/>
      <c r="C1385" s="3"/>
    </row>
    <row r="1386" spans="2:3" ht="12.75" customHeight="1" x14ac:dyDescent="0.15">
      <c r="B1386" s="3"/>
      <c r="C1386" s="3"/>
    </row>
    <row r="1387" spans="2:3" ht="12.75" customHeight="1" x14ac:dyDescent="0.15">
      <c r="B1387" s="3"/>
      <c r="C1387" s="3"/>
    </row>
    <row r="1388" spans="2:3" ht="12.75" customHeight="1" x14ac:dyDescent="0.15">
      <c r="B1388" s="3"/>
      <c r="C1388" s="3"/>
    </row>
    <row r="1389" spans="2:3" ht="12.75" customHeight="1" x14ac:dyDescent="0.15">
      <c r="B1389" s="3"/>
      <c r="C1389" s="3"/>
    </row>
    <row r="1390" spans="2:3" ht="12.75" customHeight="1" x14ac:dyDescent="0.15">
      <c r="B1390" s="3"/>
      <c r="C1390" s="3"/>
    </row>
    <row r="1391" spans="2:3" ht="12.75" customHeight="1" x14ac:dyDescent="0.15">
      <c r="B1391" s="3"/>
      <c r="C1391" s="3"/>
    </row>
    <row r="1392" spans="2:3" ht="12.75" customHeight="1" x14ac:dyDescent="0.15">
      <c r="B1392" s="3"/>
      <c r="C1392" s="3"/>
    </row>
    <row r="1393" spans="2:3" ht="12.75" customHeight="1" x14ac:dyDescent="0.15">
      <c r="B1393" s="3"/>
      <c r="C1393" s="3"/>
    </row>
    <row r="1394" spans="2:3" ht="12.75" customHeight="1" x14ac:dyDescent="0.15">
      <c r="B1394" s="3"/>
      <c r="C1394" s="3"/>
    </row>
    <row r="1395" spans="2:3" ht="12.75" customHeight="1" x14ac:dyDescent="0.15">
      <c r="B1395" s="3"/>
      <c r="C1395" s="3"/>
    </row>
    <row r="1396" spans="2:3" ht="12.75" customHeight="1" x14ac:dyDescent="0.15">
      <c r="B1396" s="3"/>
      <c r="C1396" s="3"/>
    </row>
    <row r="1397" spans="2:3" ht="12.75" customHeight="1" x14ac:dyDescent="0.15">
      <c r="B1397" s="3"/>
      <c r="C1397" s="3"/>
    </row>
    <row r="1398" spans="2:3" ht="12.75" customHeight="1" x14ac:dyDescent="0.15">
      <c r="B1398" s="3"/>
      <c r="C1398" s="3"/>
    </row>
    <row r="1399" spans="2:3" ht="12.75" customHeight="1" x14ac:dyDescent="0.15">
      <c r="B1399" s="3"/>
      <c r="C1399" s="3"/>
    </row>
    <row r="1400" spans="2:3" ht="12.75" customHeight="1" x14ac:dyDescent="0.15">
      <c r="B1400" s="3"/>
      <c r="C1400" s="3"/>
    </row>
    <row r="1401" spans="2:3" ht="12.75" customHeight="1" x14ac:dyDescent="0.15">
      <c r="B1401" s="3"/>
      <c r="C1401" s="3"/>
    </row>
    <row r="1402" spans="2:3" ht="12.75" customHeight="1" x14ac:dyDescent="0.15">
      <c r="B1402" s="3"/>
      <c r="C1402" s="3"/>
    </row>
    <row r="1403" spans="2:3" ht="12.75" customHeight="1" x14ac:dyDescent="0.15">
      <c r="B1403" s="3"/>
      <c r="C1403" s="3"/>
    </row>
    <row r="1404" spans="2:3" ht="12.75" customHeight="1" x14ac:dyDescent="0.15">
      <c r="B1404" s="3"/>
      <c r="C1404" s="3"/>
    </row>
    <row r="1405" spans="2:3" ht="12.75" customHeight="1" x14ac:dyDescent="0.15">
      <c r="B1405" s="3"/>
      <c r="C1405" s="3"/>
    </row>
    <row r="1406" spans="2:3" ht="12.75" customHeight="1" x14ac:dyDescent="0.15">
      <c r="B1406" s="3"/>
      <c r="C1406" s="3"/>
    </row>
    <row r="1407" spans="2:3" ht="12.75" customHeight="1" x14ac:dyDescent="0.15">
      <c r="B1407" s="3"/>
      <c r="C1407" s="3"/>
    </row>
    <row r="1408" spans="2:3" ht="12.75" customHeight="1" x14ac:dyDescent="0.15">
      <c r="B1408" s="3"/>
      <c r="C1408" s="3"/>
    </row>
    <row r="1409" spans="2:3" ht="12.75" customHeight="1" x14ac:dyDescent="0.15">
      <c r="B1409" s="3"/>
      <c r="C1409" s="3"/>
    </row>
    <row r="1410" spans="2:3" ht="12.75" customHeight="1" x14ac:dyDescent="0.15">
      <c r="B1410" s="3"/>
      <c r="C1410" s="3"/>
    </row>
    <row r="1411" spans="2:3" ht="12.75" customHeight="1" x14ac:dyDescent="0.15">
      <c r="B1411" s="3"/>
      <c r="C1411" s="3"/>
    </row>
    <row r="1412" spans="2:3" ht="12.75" customHeight="1" x14ac:dyDescent="0.15">
      <c r="B1412" s="3"/>
      <c r="C1412" s="3"/>
    </row>
    <row r="1413" spans="2:3" ht="12.75" customHeight="1" x14ac:dyDescent="0.15">
      <c r="B1413" s="3"/>
      <c r="C1413" s="3"/>
    </row>
    <row r="1414" spans="2:3" ht="12.75" customHeight="1" x14ac:dyDescent="0.15">
      <c r="B1414" s="3"/>
      <c r="C1414" s="3"/>
    </row>
    <row r="1415" spans="2:3" ht="12.75" customHeight="1" x14ac:dyDescent="0.15">
      <c r="B1415" s="3"/>
      <c r="C1415" s="3"/>
    </row>
    <row r="1416" spans="2:3" ht="12.75" customHeight="1" x14ac:dyDescent="0.15">
      <c r="B1416" s="3"/>
      <c r="C1416" s="3"/>
    </row>
    <row r="1417" spans="2:3" ht="12.75" customHeight="1" x14ac:dyDescent="0.15">
      <c r="B1417" s="3"/>
      <c r="C1417" s="3"/>
    </row>
    <row r="1418" spans="2:3" ht="12.75" customHeight="1" x14ac:dyDescent="0.15">
      <c r="B1418" s="3"/>
      <c r="C1418" s="3"/>
    </row>
    <row r="1419" spans="2:3" ht="12.75" customHeight="1" x14ac:dyDescent="0.15">
      <c r="B1419" s="3"/>
      <c r="C1419" s="3"/>
    </row>
    <row r="1420" spans="2:3" ht="12.75" customHeight="1" x14ac:dyDescent="0.15">
      <c r="B1420" s="3"/>
      <c r="C1420" s="3"/>
    </row>
    <row r="1421" spans="2:3" ht="12.75" customHeight="1" x14ac:dyDescent="0.15">
      <c r="B1421" s="3"/>
      <c r="C1421" s="3"/>
    </row>
    <row r="1422" spans="2:3" ht="12.75" customHeight="1" x14ac:dyDescent="0.15">
      <c r="B1422" s="3"/>
      <c r="C1422" s="3"/>
    </row>
    <row r="1423" spans="2:3" ht="12.75" customHeight="1" x14ac:dyDescent="0.15">
      <c r="B1423" s="3"/>
      <c r="C1423" s="3"/>
    </row>
    <row r="1424" spans="2:3" ht="12.75" customHeight="1" x14ac:dyDescent="0.15">
      <c r="B1424" s="3"/>
      <c r="C1424" s="3"/>
    </row>
    <row r="1425" spans="2:3" ht="12.75" customHeight="1" x14ac:dyDescent="0.15">
      <c r="B1425" s="3"/>
      <c r="C1425" s="3"/>
    </row>
    <row r="1426" spans="2:3" ht="12.75" customHeight="1" x14ac:dyDescent="0.15">
      <c r="B1426" s="3"/>
      <c r="C1426" s="3"/>
    </row>
    <row r="1427" spans="2:3" ht="12.75" customHeight="1" x14ac:dyDescent="0.15">
      <c r="B1427" s="3"/>
      <c r="C1427" s="3"/>
    </row>
    <row r="1428" spans="2:3" ht="12.75" customHeight="1" x14ac:dyDescent="0.15">
      <c r="B1428" s="3"/>
      <c r="C1428" s="3"/>
    </row>
    <row r="1429" spans="2:3" ht="12.75" customHeight="1" x14ac:dyDescent="0.15">
      <c r="B1429" s="3"/>
      <c r="C1429" s="3"/>
    </row>
    <row r="1430" spans="2:3" ht="12.75" customHeight="1" x14ac:dyDescent="0.15">
      <c r="B1430" s="3"/>
      <c r="C1430" s="3"/>
    </row>
    <row r="1431" spans="2:3" ht="12.75" customHeight="1" x14ac:dyDescent="0.15">
      <c r="B1431" s="3"/>
      <c r="C1431" s="3"/>
    </row>
    <row r="1432" spans="2:3" ht="12.75" customHeight="1" x14ac:dyDescent="0.15">
      <c r="B1432" s="3"/>
      <c r="C1432" s="3"/>
    </row>
    <row r="1433" spans="2:3" ht="12.75" customHeight="1" x14ac:dyDescent="0.15">
      <c r="B1433" s="3"/>
      <c r="C1433" s="3"/>
    </row>
    <row r="1434" spans="2:3" ht="12.75" customHeight="1" x14ac:dyDescent="0.15">
      <c r="B1434" s="3"/>
      <c r="C1434" s="3"/>
    </row>
    <row r="1435" spans="2:3" ht="12.75" customHeight="1" x14ac:dyDescent="0.15">
      <c r="B1435" s="3"/>
      <c r="C1435" s="3"/>
    </row>
    <row r="1436" spans="2:3" ht="12.75" customHeight="1" x14ac:dyDescent="0.15">
      <c r="B1436" s="3"/>
      <c r="C1436" s="3"/>
    </row>
    <row r="1437" spans="2:3" ht="12.75" customHeight="1" x14ac:dyDescent="0.15">
      <c r="B1437" s="3"/>
      <c r="C1437" s="3"/>
    </row>
    <row r="1438" spans="2:3" ht="12.75" customHeight="1" x14ac:dyDescent="0.15">
      <c r="B1438" s="3"/>
      <c r="C1438" s="3"/>
    </row>
    <row r="1439" spans="2:3" ht="12.75" customHeight="1" x14ac:dyDescent="0.15">
      <c r="B1439" s="3"/>
      <c r="C1439" s="3"/>
    </row>
    <row r="1440" spans="2:3" ht="12.75" customHeight="1" x14ac:dyDescent="0.15">
      <c r="B1440" s="3"/>
      <c r="C1440" s="3"/>
    </row>
    <row r="1441" spans="2:3" ht="12.75" customHeight="1" x14ac:dyDescent="0.15">
      <c r="B1441" s="3"/>
      <c r="C1441" s="3"/>
    </row>
    <row r="1442" spans="2:3" ht="12.75" customHeight="1" x14ac:dyDescent="0.15">
      <c r="B1442" s="3"/>
      <c r="C1442" s="3"/>
    </row>
    <row r="1443" spans="2:3" ht="12.75" customHeight="1" x14ac:dyDescent="0.15">
      <c r="B1443" s="3"/>
      <c r="C1443" s="3"/>
    </row>
    <row r="1444" spans="2:3" ht="12.75" customHeight="1" x14ac:dyDescent="0.15">
      <c r="B1444" s="3"/>
      <c r="C1444" s="3"/>
    </row>
    <row r="1445" spans="2:3" ht="12.75" customHeight="1" x14ac:dyDescent="0.15">
      <c r="B1445" s="3"/>
      <c r="C1445" s="3"/>
    </row>
    <row r="1446" spans="2:3" ht="12.75" customHeight="1" x14ac:dyDescent="0.15">
      <c r="B1446" s="3"/>
      <c r="C1446" s="3"/>
    </row>
    <row r="1447" spans="2:3" ht="12.75" customHeight="1" x14ac:dyDescent="0.15">
      <c r="B1447" s="3"/>
      <c r="C1447" s="3"/>
    </row>
    <row r="1448" spans="2:3" ht="12.75" customHeight="1" x14ac:dyDescent="0.15">
      <c r="B1448" s="3"/>
      <c r="C1448" s="3"/>
    </row>
    <row r="1449" spans="2:3" ht="12.75" customHeight="1" x14ac:dyDescent="0.15">
      <c r="B1449" s="3"/>
      <c r="C1449" s="3"/>
    </row>
    <row r="1450" spans="2:3" ht="12.75" customHeight="1" x14ac:dyDescent="0.15">
      <c r="B1450" s="3"/>
      <c r="C1450" s="3"/>
    </row>
    <row r="1451" spans="2:3" ht="12.75" customHeight="1" x14ac:dyDescent="0.15">
      <c r="B1451" s="3"/>
      <c r="C1451" s="3"/>
    </row>
    <row r="1452" spans="2:3" ht="12.75" customHeight="1" x14ac:dyDescent="0.15">
      <c r="B1452" s="3"/>
      <c r="C1452" s="3"/>
    </row>
    <row r="1453" spans="2:3" ht="12.75" customHeight="1" x14ac:dyDescent="0.15">
      <c r="B1453" s="3"/>
      <c r="C1453" s="3"/>
    </row>
    <row r="1454" spans="2:3" ht="12.75" customHeight="1" x14ac:dyDescent="0.15">
      <c r="B1454" s="3"/>
      <c r="C1454" s="3"/>
    </row>
    <row r="1455" spans="2:3" ht="12.75" customHeight="1" x14ac:dyDescent="0.15">
      <c r="B1455" s="3"/>
      <c r="C1455" s="3"/>
    </row>
    <row r="1456" spans="2:3" ht="12.75" customHeight="1" x14ac:dyDescent="0.15">
      <c r="B1456" s="3"/>
      <c r="C1456" s="3"/>
    </row>
    <row r="1457" spans="2:3" ht="12.75" customHeight="1" x14ac:dyDescent="0.15">
      <c r="B1457" s="3"/>
      <c r="C1457" s="3"/>
    </row>
    <row r="1458" spans="2:3" ht="12.75" customHeight="1" x14ac:dyDescent="0.15">
      <c r="B1458" s="3"/>
      <c r="C1458" s="3"/>
    </row>
    <row r="1459" spans="2:3" ht="12.75" customHeight="1" x14ac:dyDescent="0.15">
      <c r="B1459" s="3"/>
      <c r="C1459" s="3"/>
    </row>
    <row r="1460" spans="2:3" ht="12.75" customHeight="1" x14ac:dyDescent="0.15">
      <c r="B1460" s="3"/>
      <c r="C1460" s="3"/>
    </row>
    <row r="1461" spans="2:3" ht="12.75" customHeight="1" x14ac:dyDescent="0.15">
      <c r="B1461" s="3"/>
      <c r="C1461" s="3"/>
    </row>
    <row r="1462" spans="2:3" ht="12.75" customHeight="1" x14ac:dyDescent="0.15">
      <c r="B1462" s="3"/>
      <c r="C1462" s="3"/>
    </row>
    <row r="1463" spans="2:3" ht="12.75" customHeight="1" x14ac:dyDescent="0.15">
      <c r="B1463" s="3"/>
      <c r="C1463" s="3"/>
    </row>
    <row r="1464" spans="2:3" ht="12.75" customHeight="1" x14ac:dyDescent="0.15">
      <c r="B1464" s="3"/>
      <c r="C1464" s="3"/>
    </row>
    <row r="1465" spans="2:3" ht="12.75" customHeight="1" x14ac:dyDescent="0.15">
      <c r="B1465" s="3"/>
      <c r="C1465" s="3"/>
    </row>
    <row r="1466" spans="2:3" ht="12.75" customHeight="1" x14ac:dyDescent="0.15">
      <c r="B1466" s="3"/>
      <c r="C1466" s="3"/>
    </row>
    <row r="1467" spans="2:3" ht="12.75" customHeight="1" x14ac:dyDescent="0.15">
      <c r="B1467" s="3"/>
      <c r="C1467" s="3"/>
    </row>
    <row r="1468" spans="2:3" ht="12.75" customHeight="1" x14ac:dyDescent="0.15">
      <c r="B1468" s="3"/>
      <c r="C1468" s="3"/>
    </row>
    <row r="1469" spans="2:3" ht="12.75" customHeight="1" x14ac:dyDescent="0.15">
      <c r="B1469" s="3"/>
      <c r="C1469" s="3"/>
    </row>
    <row r="1470" spans="2:3" ht="12.75" customHeight="1" x14ac:dyDescent="0.15">
      <c r="B1470" s="3"/>
      <c r="C1470" s="3"/>
    </row>
    <row r="1471" spans="2:3" ht="12.75" customHeight="1" x14ac:dyDescent="0.15">
      <c r="B1471" s="3"/>
      <c r="C1471" s="3"/>
    </row>
    <row r="1472" spans="2:3" ht="12.75" customHeight="1" x14ac:dyDescent="0.15">
      <c r="B1472" s="3"/>
      <c r="C1472" s="3"/>
    </row>
    <row r="1473" spans="2:3" ht="12.75" customHeight="1" x14ac:dyDescent="0.15">
      <c r="B1473" s="3"/>
      <c r="C1473" s="3"/>
    </row>
    <row r="1474" spans="2:3" ht="12.75" customHeight="1" x14ac:dyDescent="0.15">
      <c r="B1474" s="3"/>
      <c r="C1474" s="3"/>
    </row>
    <row r="1475" spans="2:3" ht="12.75" customHeight="1" x14ac:dyDescent="0.15">
      <c r="B1475" s="3"/>
      <c r="C1475" s="3"/>
    </row>
    <row r="1476" spans="2:3" ht="12.75" customHeight="1" x14ac:dyDescent="0.15">
      <c r="B1476" s="3"/>
      <c r="C1476" s="3"/>
    </row>
    <row r="1477" spans="2:3" ht="12.75" customHeight="1" x14ac:dyDescent="0.15">
      <c r="B1477" s="3"/>
      <c r="C1477" s="3"/>
    </row>
    <row r="1478" spans="2:3" ht="12.75" customHeight="1" x14ac:dyDescent="0.15">
      <c r="B1478" s="3"/>
      <c r="C1478" s="3"/>
    </row>
    <row r="1479" spans="2:3" ht="12.75" customHeight="1" x14ac:dyDescent="0.15">
      <c r="B1479" s="3"/>
      <c r="C1479" s="3"/>
    </row>
    <row r="1480" spans="2:3" ht="12.75" customHeight="1" x14ac:dyDescent="0.15">
      <c r="B1480" s="3"/>
      <c r="C1480" s="3"/>
    </row>
    <row r="1481" spans="2:3" ht="12.75" customHeight="1" x14ac:dyDescent="0.15">
      <c r="B1481" s="3"/>
      <c r="C1481" s="3"/>
    </row>
    <row r="1482" spans="2:3" ht="12.75" customHeight="1" x14ac:dyDescent="0.15">
      <c r="B1482" s="3"/>
      <c r="C1482" s="3"/>
    </row>
    <row r="1483" spans="2:3" ht="12.75" customHeight="1" x14ac:dyDescent="0.15">
      <c r="B1483" s="3"/>
      <c r="C1483" s="3"/>
    </row>
    <row r="1484" spans="2:3" ht="12.75" customHeight="1" x14ac:dyDescent="0.15">
      <c r="B1484" s="3"/>
      <c r="C1484" s="3"/>
    </row>
    <row r="1485" spans="2:3" ht="12.75" customHeight="1" x14ac:dyDescent="0.15">
      <c r="B1485" s="3"/>
      <c r="C1485" s="3"/>
    </row>
    <row r="1486" spans="2:3" ht="12.75" customHeight="1" x14ac:dyDescent="0.15">
      <c r="B1486" s="3"/>
      <c r="C1486" s="3"/>
    </row>
    <row r="1487" spans="2:3" ht="12.75" customHeight="1" x14ac:dyDescent="0.15">
      <c r="B1487" s="3"/>
      <c r="C1487" s="3"/>
    </row>
    <row r="1488" spans="2:3" ht="12.75" customHeight="1" x14ac:dyDescent="0.15">
      <c r="B1488" s="3"/>
      <c r="C1488" s="3"/>
    </row>
    <row r="1489" spans="2:3" ht="12.75" customHeight="1" x14ac:dyDescent="0.15">
      <c r="B1489" s="3"/>
      <c r="C1489" s="3"/>
    </row>
    <row r="1490" spans="2:3" ht="12.75" customHeight="1" x14ac:dyDescent="0.15">
      <c r="B1490" s="3"/>
      <c r="C1490" s="3"/>
    </row>
    <row r="1491" spans="2:3" ht="12.75" customHeight="1" x14ac:dyDescent="0.15">
      <c r="B1491" s="3"/>
      <c r="C1491" s="3"/>
    </row>
    <row r="1492" spans="2:3" ht="12.75" customHeight="1" x14ac:dyDescent="0.15">
      <c r="B1492" s="3"/>
      <c r="C1492" s="3"/>
    </row>
    <row r="1493" spans="2:3" ht="12.75" customHeight="1" x14ac:dyDescent="0.15">
      <c r="B1493" s="3"/>
      <c r="C1493" s="3"/>
    </row>
    <row r="1494" spans="2:3" ht="12.75" customHeight="1" x14ac:dyDescent="0.15">
      <c r="B1494" s="3"/>
      <c r="C1494" s="3"/>
    </row>
    <row r="1495" spans="2:3" ht="12.75" customHeight="1" x14ac:dyDescent="0.15">
      <c r="B1495" s="3"/>
      <c r="C1495" s="3"/>
    </row>
    <row r="1496" spans="2:3" ht="12.75" customHeight="1" x14ac:dyDescent="0.15">
      <c r="B1496" s="3"/>
      <c r="C1496" s="3"/>
    </row>
    <row r="1497" spans="2:3" ht="12.75" customHeight="1" x14ac:dyDescent="0.15">
      <c r="B1497" s="3"/>
      <c r="C1497" s="3"/>
    </row>
    <row r="1498" spans="2:3" ht="12.75" customHeight="1" x14ac:dyDescent="0.15">
      <c r="B1498" s="3"/>
      <c r="C1498" s="3"/>
    </row>
    <row r="1499" spans="2:3" ht="12.75" customHeight="1" x14ac:dyDescent="0.15">
      <c r="B1499" s="3"/>
      <c r="C1499" s="3"/>
    </row>
    <row r="1500" spans="2:3" ht="12.75" customHeight="1" x14ac:dyDescent="0.15">
      <c r="B1500" s="3"/>
      <c r="C1500" s="3"/>
    </row>
    <row r="1501" spans="2:3" ht="12.75" customHeight="1" x14ac:dyDescent="0.15">
      <c r="B1501" s="3"/>
      <c r="C1501" s="3"/>
    </row>
    <row r="1502" spans="2:3" ht="12.75" customHeight="1" x14ac:dyDescent="0.15">
      <c r="B1502" s="3"/>
      <c r="C1502" s="3"/>
    </row>
    <row r="1503" spans="2:3" ht="12.75" customHeight="1" x14ac:dyDescent="0.15">
      <c r="B1503" s="3"/>
      <c r="C1503" s="3"/>
    </row>
    <row r="1504" spans="2:3" ht="12.75" customHeight="1" x14ac:dyDescent="0.15">
      <c r="B1504" s="3"/>
      <c r="C1504" s="3"/>
    </row>
    <row r="1505" spans="2:3" ht="12.75" customHeight="1" x14ac:dyDescent="0.15">
      <c r="B1505" s="3"/>
      <c r="C1505" s="3"/>
    </row>
    <row r="1506" spans="2:3" ht="12.75" customHeight="1" x14ac:dyDescent="0.15">
      <c r="B1506" s="3"/>
      <c r="C1506" s="3"/>
    </row>
    <row r="1507" spans="2:3" ht="12.75" customHeight="1" x14ac:dyDescent="0.15">
      <c r="B1507" s="3"/>
      <c r="C1507" s="3"/>
    </row>
    <row r="1508" spans="2:3" ht="12.75" customHeight="1" x14ac:dyDescent="0.15">
      <c r="B1508" s="3"/>
      <c r="C1508" s="3"/>
    </row>
    <row r="1509" spans="2:3" ht="12.75" customHeight="1" x14ac:dyDescent="0.15">
      <c r="B1509" s="3"/>
      <c r="C1509" s="3"/>
    </row>
    <row r="1510" spans="2:3" ht="12.75" customHeight="1" x14ac:dyDescent="0.15">
      <c r="B1510" s="3"/>
      <c r="C1510" s="3"/>
    </row>
    <row r="1511" spans="2:3" ht="12.75" customHeight="1" x14ac:dyDescent="0.15">
      <c r="B1511" s="3"/>
      <c r="C1511" s="3"/>
    </row>
    <row r="1512" spans="2:3" ht="12.75" customHeight="1" x14ac:dyDescent="0.15">
      <c r="B1512" s="3"/>
      <c r="C1512" s="3"/>
    </row>
    <row r="1513" spans="2:3" ht="12.75" customHeight="1" x14ac:dyDescent="0.15">
      <c r="B1513" s="3"/>
      <c r="C1513" s="3"/>
    </row>
    <row r="1514" spans="2:3" ht="12.75" customHeight="1" x14ac:dyDescent="0.15">
      <c r="B1514" s="3"/>
      <c r="C1514" s="3"/>
    </row>
    <row r="1515" spans="2:3" ht="12.75" customHeight="1" x14ac:dyDescent="0.15">
      <c r="B1515" s="3"/>
      <c r="C1515" s="3"/>
    </row>
    <row r="1516" spans="2:3" ht="12.75" customHeight="1" x14ac:dyDescent="0.15">
      <c r="B1516" s="3"/>
      <c r="C1516" s="3"/>
    </row>
    <row r="1517" spans="2:3" ht="12.75" customHeight="1" x14ac:dyDescent="0.15">
      <c r="B1517" s="3"/>
      <c r="C1517" s="3"/>
    </row>
    <row r="1518" spans="2:3" ht="12.75" customHeight="1" x14ac:dyDescent="0.15">
      <c r="B1518" s="3"/>
      <c r="C1518" s="3"/>
    </row>
    <row r="1519" spans="2:3" ht="12.75" customHeight="1" x14ac:dyDescent="0.15">
      <c r="B1519" s="3"/>
      <c r="C1519" s="3"/>
    </row>
    <row r="1520" spans="2:3" ht="12.75" customHeight="1" x14ac:dyDescent="0.15">
      <c r="B1520" s="3"/>
      <c r="C1520" s="3"/>
    </row>
    <row r="1521" spans="2:3" ht="12.75" customHeight="1" x14ac:dyDescent="0.15">
      <c r="B1521" s="3"/>
      <c r="C1521" s="3"/>
    </row>
    <row r="1522" spans="2:3" ht="12.75" customHeight="1" x14ac:dyDescent="0.15">
      <c r="B1522" s="3"/>
      <c r="C1522" s="3"/>
    </row>
    <row r="1523" spans="2:3" ht="12.75" customHeight="1" x14ac:dyDescent="0.15">
      <c r="B1523" s="3"/>
      <c r="C1523" s="3"/>
    </row>
    <row r="1524" spans="2:3" ht="12.75" customHeight="1" x14ac:dyDescent="0.15">
      <c r="B1524" s="3"/>
      <c r="C1524" s="3"/>
    </row>
    <row r="1525" spans="2:3" ht="12.75" customHeight="1" x14ac:dyDescent="0.15">
      <c r="B1525" s="3"/>
      <c r="C1525" s="3"/>
    </row>
    <row r="1526" spans="2:3" ht="12.75" customHeight="1" x14ac:dyDescent="0.15">
      <c r="B1526" s="3"/>
      <c r="C1526" s="3"/>
    </row>
    <row r="1527" spans="2:3" ht="12.75" customHeight="1" x14ac:dyDescent="0.15">
      <c r="B1527" s="3"/>
      <c r="C1527" s="3"/>
    </row>
    <row r="1528" spans="2:3" ht="12.75" customHeight="1" x14ac:dyDescent="0.15">
      <c r="B1528" s="3"/>
      <c r="C1528" s="3"/>
    </row>
    <row r="1529" spans="2:3" ht="12.75" customHeight="1" x14ac:dyDescent="0.15">
      <c r="B1529" s="3"/>
      <c r="C1529" s="3"/>
    </row>
    <row r="1530" spans="2:3" ht="12.75" customHeight="1" x14ac:dyDescent="0.15">
      <c r="B1530" s="3"/>
      <c r="C1530" s="3"/>
    </row>
    <row r="1531" spans="2:3" ht="12.75" customHeight="1" x14ac:dyDescent="0.15">
      <c r="B1531" s="3"/>
      <c r="C1531" s="3"/>
    </row>
    <row r="1532" spans="2:3" ht="12.75" customHeight="1" x14ac:dyDescent="0.15">
      <c r="B1532" s="3"/>
      <c r="C1532" s="3"/>
    </row>
    <row r="1533" spans="2:3" ht="12.75" customHeight="1" x14ac:dyDescent="0.15">
      <c r="B1533" s="3"/>
      <c r="C1533" s="3"/>
    </row>
    <row r="1534" spans="2:3" ht="12.75" customHeight="1" x14ac:dyDescent="0.15">
      <c r="B1534" s="3"/>
      <c r="C1534" s="3"/>
    </row>
    <row r="1535" spans="2:3" ht="12.75" customHeight="1" x14ac:dyDescent="0.15">
      <c r="B1535" s="3"/>
      <c r="C1535" s="3"/>
    </row>
    <row r="1536" spans="2:3" ht="12.75" customHeight="1" x14ac:dyDescent="0.15">
      <c r="B1536" s="3"/>
      <c r="C1536" s="3"/>
    </row>
    <row r="1537" spans="2:3" ht="12.75" customHeight="1" x14ac:dyDescent="0.15">
      <c r="B1537" s="3"/>
      <c r="C1537" s="3"/>
    </row>
    <row r="1538" spans="2:3" ht="12.75" customHeight="1" x14ac:dyDescent="0.15">
      <c r="B1538" s="3"/>
      <c r="C1538" s="3"/>
    </row>
    <row r="1539" spans="2:3" ht="12.75" customHeight="1" x14ac:dyDescent="0.15">
      <c r="B1539" s="3"/>
      <c r="C1539" s="3"/>
    </row>
    <row r="1540" spans="2:3" ht="12.75" customHeight="1" x14ac:dyDescent="0.15">
      <c r="B1540" s="3"/>
      <c r="C1540" s="3"/>
    </row>
    <row r="1541" spans="2:3" ht="12.75" customHeight="1" x14ac:dyDescent="0.15">
      <c r="B1541" s="3"/>
      <c r="C1541" s="3"/>
    </row>
    <row r="1542" spans="2:3" ht="12.75" customHeight="1" x14ac:dyDescent="0.15">
      <c r="B1542" s="3"/>
      <c r="C1542" s="3"/>
    </row>
    <row r="1543" spans="2:3" ht="12.75" customHeight="1" x14ac:dyDescent="0.15">
      <c r="B1543" s="3"/>
      <c r="C1543" s="3"/>
    </row>
    <row r="1544" spans="2:3" ht="12.75" customHeight="1" x14ac:dyDescent="0.15">
      <c r="B1544" s="3"/>
      <c r="C1544" s="3"/>
    </row>
    <row r="1545" spans="2:3" ht="12.75" customHeight="1" x14ac:dyDescent="0.15">
      <c r="B1545" s="3"/>
      <c r="C1545" s="3"/>
    </row>
    <row r="1546" spans="2:3" ht="12.75" customHeight="1" x14ac:dyDescent="0.15">
      <c r="B1546" s="3"/>
      <c r="C1546" s="3"/>
    </row>
    <row r="1547" spans="2:3" ht="12.75" customHeight="1" x14ac:dyDescent="0.15">
      <c r="B1547" s="3"/>
      <c r="C1547" s="3"/>
    </row>
    <row r="1548" spans="2:3" ht="12.75" customHeight="1" x14ac:dyDescent="0.15">
      <c r="B1548" s="3"/>
      <c r="C1548" s="3"/>
    </row>
    <row r="1549" spans="2:3" ht="12.75" customHeight="1" x14ac:dyDescent="0.15">
      <c r="B1549" s="3"/>
      <c r="C1549" s="3"/>
    </row>
    <row r="1550" spans="2:3" ht="12.75" customHeight="1" x14ac:dyDescent="0.15">
      <c r="B1550" s="3"/>
      <c r="C1550" s="3"/>
    </row>
    <row r="1551" spans="2:3" ht="12.75" customHeight="1" x14ac:dyDescent="0.15">
      <c r="B1551" s="3"/>
      <c r="C1551" s="3"/>
    </row>
    <row r="1552" spans="2:3" ht="12.75" customHeight="1" x14ac:dyDescent="0.15">
      <c r="B1552" s="3"/>
      <c r="C1552" s="3"/>
    </row>
    <row r="1553" spans="2:3" ht="12.75" customHeight="1" x14ac:dyDescent="0.15">
      <c r="B1553" s="3"/>
      <c r="C1553" s="3"/>
    </row>
    <row r="1554" spans="2:3" ht="12.75" customHeight="1" x14ac:dyDescent="0.15">
      <c r="B1554" s="3"/>
      <c r="C1554" s="3"/>
    </row>
    <row r="1555" spans="2:3" ht="12.75" customHeight="1" x14ac:dyDescent="0.15">
      <c r="B1555" s="3"/>
      <c r="C1555" s="3"/>
    </row>
    <row r="1556" spans="2:3" ht="12.75" customHeight="1" x14ac:dyDescent="0.15">
      <c r="B1556" s="3"/>
      <c r="C1556" s="3"/>
    </row>
    <row r="1557" spans="2:3" ht="12.75" customHeight="1" x14ac:dyDescent="0.15">
      <c r="B1557" s="3"/>
      <c r="C1557" s="3"/>
    </row>
    <row r="1558" spans="2:3" ht="12.75" customHeight="1" x14ac:dyDescent="0.15">
      <c r="B1558" s="3"/>
      <c r="C1558" s="3"/>
    </row>
    <row r="1559" spans="2:3" ht="12.75" customHeight="1" x14ac:dyDescent="0.15">
      <c r="B1559" s="3"/>
      <c r="C1559" s="3"/>
    </row>
    <row r="1560" spans="2:3" ht="12.75" customHeight="1" x14ac:dyDescent="0.15">
      <c r="B1560" s="3"/>
      <c r="C1560" s="3"/>
    </row>
    <row r="1561" spans="2:3" ht="12.75" customHeight="1" x14ac:dyDescent="0.15">
      <c r="B1561" s="3"/>
      <c r="C1561" s="3"/>
    </row>
    <row r="1562" spans="2:3" ht="12.75" customHeight="1" x14ac:dyDescent="0.15">
      <c r="B1562" s="3"/>
      <c r="C1562" s="3"/>
    </row>
    <row r="1563" spans="2:3" ht="12.75" customHeight="1" x14ac:dyDescent="0.15">
      <c r="B1563" s="3"/>
      <c r="C1563" s="3"/>
    </row>
    <row r="1564" spans="2:3" ht="12.75" customHeight="1" x14ac:dyDescent="0.15">
      <c r="B1564" s="3"/>
      <c r="C1564" s="3"/>
    </row>
    <row r="1565" spans="2:3" ht="12.75" customHeight="1" x14ac:dyDescent="0.15">
      <c r="B1565" s="3"/>
      <c r="C1565" s="3"/>
    </row>
    <row r="1566" spans="2:3" ht="12.75" customHeight="1" x14ac:dyDescent="0.15">
      <c r="B1566" s="3"/>
      <c r="C1566" s="3"/>
    </row>
    <row r="1567" spans="2:3" ht="12.75" customHeight="1" x14ac:dyDescent="0.15">
      <c r="B1567" s="3"/>
      <c r="C1567" s="3"/>
    </row>
    <row r="1568" spans="2:3" ht="12.75" customHeight="1" x14ac:dyDescent="0.15">
      <c r="B1568" s="3"/>
      <c r="C1568" s="3"/>
    </row>
    <row r="1569" spans="2:3" ht="12.75" customHeight="1" x14ac:dyDescent="0.15">
      <c r="B1569" s="3"/>
      <c r="C1569" s="3"/>
    </row>
    <row r="1570" spans="2:3" ht="12.75" customHeight="1" x14ac:dyDescent="0.15">
      <c r="B1570" s="3"/>
      <c r="C1570" s="3"/>
    </row>
    <row r="1571" spans="2:3" ht="12.75" customHeight="1" x14ac:dyDescent="0.15">
      <c r="B1571" s="3"/>
      <c r="C1571" s="3"/>
    </row>
    <row r="1572" spans="2:3" ht="12.75" customHeight="1" x14ac:dyDescent="0.15">
      <c r="B1572" s="3"/>
      <c r="C1572" s="3"/>
    </row>
    <row r="1573" spans="2:3" ht="12.75" customHeight="1" x14ac:dyDescent="0.15">
      <c r="B1573" s="3"/>
      <c r="C1573" s="3"/>
    </row>
    <row r="1574" spans="2:3" ht="12.75" customHeight="1" x14ac:dyDescent="0.15">
      <c r="B1574" s="3"/>
      <c r="C1574" s="3"/>
    </row>
    <row r="1575" spans="2:3" ht="12.75" customHeight="1" x14ac:dyDescent="0.15">
      <c r="B1575" s="3"/>
      <c r="C1575" s="3"/>
    </row>
    <row r="1576" spans="2:3" ht="12.75" customHeight="1" x14ac:dyDescent="0.15">
      <c r="B1576" s="3"/>
      <c r="C1576" s="3"/>
    </row>
    <row r="1577" spans="2:3" ht="12.75" customHeight="1" x14ac:dyDescent="0.15">
      <c r="B1577" s="3"/>
      <c r="C1577" s="3"/>
    </row>
    <row r="1578" spans="2:3" ht="12.75" customHeight="1" x14ac:dyDescent="0.15">
      <c r="B1578" s="3"/>
      <c r="C1578" s="3"/>
    </row>
    <row r="1579" spans="2:3" ht="12.75" customHeight="1" x14ac:dyDescent="0.15">
      <c r="B1579" s="3"/>
      <c r="C1579" s="3"/>
    </row>
    <row r="1580" spans="2:3" ht="12.75" customHeight="1" x14ac:dyDescent="0.15">
      <c r="B1580" s="3"/>
      <c r="C1580" s="3"/>
    </row>
    <row r="1581" spans="2:3" ht="12.75" customHeight="1" x14ac:dyDescent="0.15">
      <c r="B1581" s="3"/>
      <c r="C1581" s="3"/>
    </row>
    <row r="1582" spans="2:3" ht="12.75" customHeight="1" x14ac:dyDescent="0.15">
      <c r="B1582" s="3"/>
      <c r="C1582" s="3"/>
    </row>
    <row r="1583" spans="2:3" ht="12.75" customHeight="1" x14ac:dyDescent="0.15">
      <c r="B1583" s="3"/>
      <c r="C1583" s="3"/>
    </row>
    <row r="1584" spans="2:3" ht="12.75" customHeight="1" x14ac:dyDescent="0.15">
      <c r="B1584" s="3"/>
      <c r="C1584" s="3"/>
    </row>
    <row r="1585" spans="2:3" ht="12.75" customHeight="1" x14ac:dyDescent="0.15">
      <c r="B1585" s="3"/>
      <c r="C1585" s="3"/>
    </row>
    <row r="1586" spans="2:3" ht="12.75" customHeight="1" x14ac:dyDescent="0.15">
      <c r="B1586" s="3"/>
      <c r="C1586" s="3"/>
    </row>
    <row r="1587" spans="2:3" ht="12.75" customHeight="1" x14ac:dyDescent="0.15">
      <c r="B1587" s="3"/>
      <c r="C1587" s="3"/>
    </row>
    <row r="1588" spans="2:3" ht="12.75" customHeight="1" x14ac:dyDescent="0.15">
      <c r="B1588" s="3"/>
      <c r="C1588" s="3"/>
    </row>
    <row r="1589" spans="2:3" ht="12.75" customHeight="1" x14ac:dyDescent="0.15">
      <c r="B1589" s="3"/>
      <c r="C1589" s="3"/>
    </row>
    <row r="1590" spans="2:3" ht="12.75" customHeight="1" x14ac:dyDescent="0.15">
      <c r="B1590" s="3"/>
      <c r="C1590" s="3"/>
    </row>
    <row r="1591" spans="2:3" ht="12.75" customHeight="1" x14ac:dyDescent="0.15">
      <c r="B1591" s="3"/>
      <c r="C1591" s="3"/>
    </row>
    <row r="1592" spans="2:3" ht="12.75" customHeight="1" x14ac:dyDescent="0.15">
      <c r="B1592" s="3"/>
      <c r="C1592" s="3"/>
    </row>
    <row r="1593" spans="2:3" ht="12.75" customHeight="1" x14ac:dyDescent="0.15">
      <c r="B1593" s="3"/>
      <c r="C1593" s="3"/>
    </row>
    <row r="1594" spans="2:3" ht="12.75" customHeight="1" x14ac:dyDescent="0.15">
      <c r="B1594" s="3"/>
      <c r="C1594" s="3"/>
    </row>
    <row r="1595" spans="2:3" ht="12.75" customHeight="1" x14ac:dyDescent="0.15">
      <c r="B1595" s="3"/>
      <c r="C1595" s="3"/>
    </row>
    <row r="1596" spans="2:3" ht="12.75" customHeight="1" x14ac:dyDescent="0.15">
      <c r="B1596" s="3"/>
      <c r="C1596" s="3"/>
    </row>
    <row r="1597" spans="2:3" ht="12.75" customHeight="1" x14ac:dyDescent="0.15">
      <c r="B1597" s="3"/>
      <c r="C1597" s="3"/>
    </row>
    <row r="1598" spans="2:3" ht="12.75" customHeight="1" x14ac:dyDescent="0.15">
      <c r="B1598" s="3"/>
      <c r="C1598" s="3"/>
    </row>
    <row r="1599" spans="2:3" ht="12.75" customHeight="1" x14ac:dyDescent="0.15">
      <c r="B1599" s="3"/>
      <c r="C1599" s="3"/>
    </row>
    <row r="1600" spans="2:3" ht="12.75" customHeight="1" x14ac:dyDescent="0.15">
      <c r="B1600" s="3"/>
      <c r="C1600" s="3"/>
    </row>
    <row r="1601" spans="2:3" ht="12.75" customHeight="1" x14ac:dyDescent="0.15">
      <c r="B1601" s="3"/>
      <c r="C1601" s="3"/>
    </row>
    <row r="1602" spans="2:3" ht="12.75" customHeight="1" x14ac:dyDescent="0.15">
      <c r="B1602" s="3"/>
      <c r="C1602" s="3"/>
    </row>
    <row r="1603" spans="2:3" ht="12.75" customHeight="1" x14ac:dyDescent="0.15">
      <c r="B1603" s="3"/>
      <c r="C1603" s="3"/>
    </row>
    <row r="1604" spans="2:3" ht="12.75" customHeight="1" x14ac:dyDescent="0.15">
      <c r="B1604" s="3"/>
      <c r="C1604" s="3"/>
    </row>
    <row r="1605" spans="2:3" ht="12.75" customHeight="1" x14ac:dyDescent="0.15">
      <c r="B1605" s="3"/>
      <c r="C1605" s="3"/>
    </row>
    <row r="1606" spans="2:3" ht="12.75" customHeight="1" x14ac:dyDescent="0.15">
      <c r="B1606" s="3"/>
      <c r="C1606" s="3"/>
    </row>
    <row r="1607" spans="2:3" ht="12.75" customHeight="1" x14ac:dyDescent="0.15">
      <c r="B1607" s="3"/>
      <c r="C1607" s="3"/>
    </row>
    <row r="1608" spans="2:3" ht="12.75" customHeight="1" x14ac:dyDescent="0.15">
      <c r="B1608" s="3"/>
      <c r="C1608" s="3"/>
    </row>
    <row r="1609" spans="2:3" ht="12.75" customHeight="1" x14ac:dyDescent="0.15">
      <c r="B1609" s="3"/>
      <c r="C1609" s="3"/>
    </row>
    <row r="1610" spans="2:3" ht="12.75" customHeight="1" x14ac:dyDescent="0.15">
      <c r="B1610" s="3"/>
      <c r="C1610" s="3"/>
    </row>
    <row r="1611" spans="2:3" ht="12.75" customHeight="1" x14ac:dyDescent="0.15">
      <c r="B1611" s="3"/>
      <c r="C1611" s="3"/>
    </row>
    <row r="1612" spans="2:3" ht="12.75" customHeight="1" x14ac:dyDescent="0.15">
      <c r="B1612" s="3"/>
      <c r="C1612" s="3"/>
    </row>
    <row r="1613" spans="2:3" ht="12.75" customHeight="1" x14ac:dyDescent="0.15">
      <c r="B1613" s="3"/>
      <c r="C1613" s="3"/>
    </row>
    <row r="1614" spans="2:3" ht="12.75" customHeight="1" x14ac:dyDescent="0.15">
      <c r="B1614" s="3"/>
      <c r="C1614" s="3"/>
    </row>
    <row r="1615" spans="2:3" ht="12.75" customHeight="1" x14ac:dyDescent="0.15">
      <c r="B1615" s="3"/>
      <c r="C1615" s="3"/>
    </row>
    <row r="1616" spans="2:3" ht="12.75" customHeight="1" x14ac:dyDescent="0.15">
      <c r="B1616" s="3"/>
      <c r="C1616" s="3"/>
    </row>
    <row r="1617" spans="2:3" ht="12.75" customHeight="1" x14ac:dyDescent="0.15">
      <c r="B1617" s="3"/>
      <c r="C1617" s="3"/>
    </row>
    <row r="1618" spans="2:3" ht="12.75" customHeight="1" x14ac:dyDescent="0.15">
      <c r="B1618" s="3"/>
      <c r="C1618" s="3"/>
    </row>
    <row r="1619" spans="2:3" ht="12.75" customHeight="1" x14ac:dyDescent="0.15">
      <c r="B1619" s="3"/>
      <c r="C1619" s="3"/>
    </row>
    <row r="1620" spans="2:3" ht="12.75" customHeight="1" x14ac:dyDescent="0.15">
      <c r="B1620" s="3"/>
      <c r="C1620" s="3"/>
    </row>
    <row r="1621" spans="2:3" ht="12.75" customHeight="1" x14ac:dyDescent="0.15">
      <c r="B1621" s="3"/>
      <c r="C1621" s="3"/>
    </row>
    <row r="1622" spans="2:3" ht="12.75" customHeight="1" x14ac:dyDescent="0.15">
      <c r="B1622" s="3"/>
      <c r="C1622" s="3"/>
    </row>
    <row r="1623" spans="2:3" ht="12.75" customHeight="1" x14ac:dyDescent="0.15">
      <c r="B1623" s="3"/>
      <c r="C1623" s="3"/>
    </row>
    <row r="1624" spans="2:3" ht="12.75" customHeight="1" x14ac:dyDescent="0.15">
      <c r="B1624" s="3"/>
      <c r="C1624" s="3"/>
    </row>
    <row r="1625" spans="2:3" ht="12.75" customHeight="1" x14ac:dyDescent="0.15">
      <c r="B1625" s="3"/>
      <c r="C1625" s="3"/>
    </row>
    <row r="1626" spans="2:3" ht="12.75" customHeight="1" x14ac:dyDescent="0.15">
      <c r="B1626" s="3"/>
      <c r="C1626" s="3"/>
    </row>
    <row r="1627" spans="2:3" ht="12.75" customHeight="1" x14ac:dyDescent="0.15">
      <c r="B1627" s="3"/>
      <c r="C1627" s="3"/>
    </row>
    <row r="1628" spans="2:3" ht="12.75" customHeight="1" x14ac:dyDescent="0.15">
      <c r="B1628" s="3"/>
      <c r="C1628" s="3"/>
    </row>
    <row r="1629" spans="2:3" ht="12.75" customHeight="1" x14ac:dyDescent="0.15">
      <c r="B1629" s="3"/>
      <c r="C1629" s="3"/>
    </row>
    <row r="1630" spans="2:3" ht="12.75" customHeight="1" x14ac:dyDescent="0.15">
      <c r="B1630" s="3"/>
      <c r="C1630" s="3"/>
    </row>
    <row r="1631" spans="2:3" ht="12.75" customHeight="1" x14ac:dyDescent="0.15">
      <c r="B1631" s="3"/>
      <c r="C1631" s="3"/>
    </row>
    <row r="1632" spans="2:3" ht="12.75" customHeight="1" x14ac:dyDescent="0.15">
      <c r="B1632" s="3"/>
      <c r="C1632" s="3"/>
    </row>
    <row r="1633" spans="2:3" ht="12.75" customHeight="1" x14ac:dyDescent="0.15">
      <c r="B1633" s="3"/>
      <c r="C1633" s="3"/>
    </row>
    <row r="1634" spans="2:3" ht="12.75" customHeight="1" x14ac:dyDescent="0.15">
      <c r="B1634" s="3"/>
      <c r="C1634" s="3"/>
    </row>
    <row r="1635" spans="2:3" ht="12.75" customHeight="1" x14ac:dyDescent="0.15">
      <c r="B1635" s="3"/>
      <c r="C1635" s="3"/>
    </row>
    <row r="1636" spans="2:3" ht="12.75" customHeight="1" x14ac:dyDescent="0.15">
      <c r="B1636" s="3"/>
      <c r="C1636" s="3"/>
    </row>
    <row r="1637" spans="2:3" ht="12.75" customHeight="1" x14ac:dyDescent="0.15">
      <c r="B1637" s="3"/>
      <c r="C1637" s="3"/>
    </row>
    <row r="1638" spans="2:3" ht="12.75" customHeight="1" x14ac:dyDescent="0.15">
      <c r="B1638" s="3"/>
      <c r="C1638" s="3"/>
    </row>
  </sheetData>
  <mergeCells count="5">
    <mergeCell ref="A2:E2"/>
    <mergeCell ref="C6:C7"/>
    <mergeCell ref="A6:A7"/>
    <mergeCell ref="B6:B7"/>
    <mergeCell ref="D6:E6"/>
  </mergeCells>
  <phoneticPr fontId="0" type="noConversion"/>
  <pageMargins left="0.81" right="0.15748031496062992" top="0.23622047244094491" bottom="0.27559055118110237" header="0.19685039370078741" footer="0.15748031496062992"/>
  <pageSetup paperSize="9" scale="76" orientation="portrait" r:id="rId1"/>
  <headerFooter alignWithMargins="0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17"/>
  <sheetViews>
    <sheetView showGridLines="0" topLeftCell="B22" zoomScale="86" zoomScaleNormal="86" workbookViewId="0"/>
  </sheetViews>
  <sheetFormatPr defaultRowHeight="12.75" customHeight="1" outlineLevelCol="1" x14ac:dyDescent="0.15"/>
  <cols>
    <col min="1" max="1" width="9.140625" style="4" hidden="1" customWidth="1" outlineLevel="1"/>
    <col min="2" max="2" width="43.5703125" style="4" customWidth="1" collapsed="1"/>
    <col min="3" max="3" width="7.85546875" style="4" customWidth="1"/>
    <col min="4" max="4" width="27.5703125" style="4" hidden="1" customWidth="1" outlineLevel="1"/>
    <col min="5" max="5" width="18.7109375" style="4" customWidth="1" collapsed="1"/>
    <col min="6" max="6" width="18.7109375" style="4" customWidth="1"/>
    <col min="7" max="8" width="9.140625" style="4"/>
    <col min="9" max="9" width="16.85546875" style="4" bestFit="1" customWidth="1"/>
    <col min="10" max="10" width="17" style="4" bestFit="1" customWidth="1"/>
    <col min="11" max="11" width="15.42578125" style="4" bestFit="1" customWidth="1"/>
    <col min="12" max="13" width="16.85546875" style="4" bestFit="1" customWidth="1"/>
    <col min="14" max="16384" width="9.140625" style="4"/>
  </cols>
  <sheetData>
    <row r="2" spans="1:13" ht="12.75" customHeight="1" x14ac:dyDescent="0.15">
      <c r="B2" s="379" t="s">
        <v>923</v>
      </c>
      <c r="C2" s="379"/>
      <c r="D2" s="379"/>
      <c r="E2" s="379"/>
      <c r="F2" s="379"/>
    </row>
    <row r="3" spans="1:13" ht="12.75" customHeight="1" x14ac:dyDescent="0.15">
      <c r="B3" s="379" t="s">
        <v>3</v>
      </c>
      <c r="C3" s="379"/>
      <c r="D3" s="379"/>
      <c r="E3" s="379"/>
      <c r="F3" s="379"/>
    </row>
    <row r="4" spans="1:13" ht="20.100000000000001" customHeight="1" x14ac:dyDescent="0.3">
      <c r="A4" s="134"/>
      <c r="B4" s="132"/>
      <c r="E4" s="4" t="s">
        <v>317</v>
      </c>
      <c r="I4" s="379">
        <v>2018</v>
      </c>
      <c r="J4" s="379"/>
    </row>
    <row r="5" spans="1:13" ht="12.75" customHeight="1" x14ac:dyDescent="0.15">
      <c r="B5" s="133"/>
      <c r="C5" s="4" t="s">
        <v>13</v>
      </c>
      <c r="F5" s="3" t="s">
        <v>318</v>
      </c>
    </row>
    <row r="6" spans="1:13" ht="12.75" customHeight="1" x14ac:dyDescent="0.2">
      <c r="B6" s="353" t="s">
        <v>924</v>
      </c>
      <c r="I6" s="354">
        <v>61</v>
      </c>
      <c r="J6" s="355"/>
      <c r="K6" s="139"/>
    </row>
    <row r="7" spans="1:13" ht="12.75" customHeight="1" x14ac:dyDescent="0.15">
      <c r="A7" s="380" t="s">
        <v>77</v>
      </c>
      <c r="B7" s="384" t="s">
        <v>14</v>
      </c>
      <c r="C7" s="386" t="s">
        <v>15</v>
      </c>
      <c r="D7" s="382" t="s">
        <v>2</v>
      </c>
      <c r="E7" s="388" t="s">
        <v>16</v>
      </c>
      <c r="F7" s="389"/>
      <c r="I7" s="354">
        <v>62</v>
      </c>
      <c r="J7" s="356"/>
      <c r="K7" s="143"/>
    </row>
    <row r="8" spans="1:13" ht="12.75" customHeight="1" x14ac:dyDescent="0.15">
      <c r="A8" s="381"/>
      <c r="B8" s="385"/>
      <c r="C8" s="387"/>
      <c r="D8" s="383"/>
      <c r="E8" s="169">
        <v>2018</v>
      </c>
      <c r="F8" s="169">
        <v>2017</v>
      </c>
      <c r="I8" s="354">
        <v>63</v>
      </c>
      <c r="J8" s="356"/>
      <c r="K8" s="143"/>
    </row>
    <row r="9" spans="1:13" ht="12.75" customHeight="1" x14ac:dyDescent="0.3">
      <c r="A9" s="1" t="s">
        <v>80</v>
      </c>
      <c r="B9" s="357" t="s">
        <v>44</v>
      </c>
      <c r="C9" s="171">
        <v>22</v>
      </c>
      <c r="D9" s="171" t="s">
        <v>100</v>
      </c>
      <c r="E9" s="172">
        <f>+J6</f>
        <v>0</v>
      </c>
      <c r="F9" s="173">
        <v>0</v>
      </c>
      <c r="I9" s="354">
        <v>64</v>
      </c>
      <c r="J9" s="358"/>
      <c r="K9" s="143"/>
      <c r="M9" s="359"/>
    </row>
    <row r="10" spans="1:13" ht="12.75" customHeight="1" x14ac:dyDescent="0.3">
      <c r="A10" s="1"/>
      <c r="B10" s="357" t="s">
        <v>45</v>
      </c>
      <c r="C10" s="171">
        <v>23</v>
      </c>
      <c r="D10" s="171" t="s">
        <v>101</v>
      </c>
      <c r="E10" s="172">
        <f>+J7</f>
        <v>0</v>
      </c>
      <c r="F10" s="173">
        <v>0</v>
      </c>
      <c r="I10" s="354">
        <v>65</v>
      </c>
      <c r="J10" s="360"/>
      <c r="K10" s="143"/>
      <c r="L10" s="359"/>
      <c r="M10" s="359"/>
    </row>
    <row r="11" spans="1:13" ht="12.75" customHeight="1" x14ac:dyDescent="0.3">
      <c r="A11" s="1" t="s">
        <v>81</v>
      </c>
      <c r="B11" s="357" t="s">
        <v>46</v>
      </c>
      <c r="C11" s="171">
        <v>24</v>
      </c>
      <c r="D11" s="171" t="s">
        <v>102</v>
      </c>
      <c r="E11" s="174">
        <f t="shared" ref="E11" si="0">J8</f>
        <v>0</v>
      </c>
      <c r="F11" s="174">
        <v>0</v>
      </c>
      <c r="I11" s="354">
        <v>66</v>
      </c>
      <c r="J11" s="360"/>
      <c r="K11" s="143"/>
      <c r="L11" s="359"/>
      <c r="M11" s="359"/>
    </row>
    <row r="12" spans="1:13" ht="18" customHeight="1" x14ac:dyDescent="0.3">
      <c r="A12" s="1"/>
      <c r="B12" s="357"/>
      <c r="C12" s="171"/>
      <c r="D12" s="175" t="s">
        <v>112</v>
      </c>
      <c r="E12" s="172">
        <f>+E10+E9</f>
        <v>0</v>
      </c>
      <c r="F12" s="173">
        <f>SUM(F9:F11)</f>
        <v>0</v>
      </c>
      <c r="I12" s="354">
        <v>67</v>
      </c>
      <c r="J12" s="356"/>
      <c r="K12" s="143"/>
      <c r="L12" s="359"/>
      <c r="M12" s="359"/>
    </row>
    <row r="13" spans="1:13" ht="24" customHeight="1" x14ac:dyDescent="0.3">
      <c r="A13" s="1" t="s">
        <v>82</v>
      </c>
      <c r="B13" s="361" t="s">
        <v>47</v>
      </c>
      <c r="C13" s="362">
        <v>25</v>
      </c>
      <c r="D13" s="171" t="s">
        <v>103</v>
      </c>
      <c r="E13" s="363">
        <f>J9</f>
        <v>0</v>
      </c>
      <c r="F13" s="172">
        <v>0</v>
      </c>
      <c r="I13" s="354">
        <v>68</v>
      </c>
      <c r="J13" s="356"/>
      <c r="K13" s="143"/>
      <c r="L13" s="359"/>
      <c r="M13" s="359"/>
    </row>
    <row r="14" spans="1:13" ht="12.75" customHeight="1" x14ac:dyDescent="0.3">
      <c r="A14" s="1" t="s">
        <v>83</v>
      </c>
      <c r="B14" s="357" t="s">
        <v>48</v>
      </c>
      <c r="C14" s="171">
        <v>26</v>
      </c>
      <c r="D14" s="171" t="s">
        <v>104</v>
      </c>
      <c r="E14" s="172">
        <v>0</v>
      </c>
      <c r="F14" s="173">
        <v>0</v>
      </c>
      <c r="I14" s="354">
        <v>69</v>
      </c>
      <c r="J14" s="356"/>
      <c r="K14" s="143"/>
      <c r="L14" s="359"/>
      <c r="M14" s="359"/>
    </row>
    <row r="15" spans="1:13" ht="24" customHeight="1" x14ac:dyDescent="0.3">
      <c r="A15" s="1" t="s">
        <v>84</v>
      </c>
      <c r="B15" s="361" t="s">
        <v>49</v>
      </c>
      <c r="C15" s="171">
        <v>27</v>
      </c>
      <c r="D15" s="171" t="s">
        <v>105</v>
      </c>
      <c r="E15" s="172">
        <f>+J15</f>
        <v>0</v>
      </c>
      <c r="F15" s="173">
        <v>0</v>
      </c>
      <c r="I15" s="354">
        <v>71</v>
      </c>
      <c r="J15" s="364"/>
      <c r="K15" s="143"/>
      <c r="L15" s="359"/>
      <c r="M15" s="359"/>
    </row>
    <row r="16" spans="1:13" ht="12.75" customHeight="1" x14ac:dyDescent="0.3">
      <c r="A16" s="1" t="s">
        <v>85</v>
      </c>
      <c r="B16" s="357" t="s">
        <v>50</v>
      </c>
      <c r="C16" s="171">
        <v>28</v>
      </c>
      <c r="D16" s="171" t="s">
        <v>106</v>
      </c>
      <c r="E16" s="172">
        <f>+J16</f>
        <v>0</v>
      </c>
      <c r="F16" s="173">
        <v>0</v>
      </c>
      <c r="I16" s="354">
        <v>72</v>
      </c>
      <c r="J16" s="365"/>
      <c r="K16" s="143"/>
      <c r="L16" s="359"/>
      <c r="M16" s="359"/>
    </row>
    <row r="17" spans="1:13" ht="12.75" customHeight="1" x14ac:dyDescent="0.3">
      <c r="A17" s="1" t="s">
        <v>86</v>
      </c>
      <c r="B17" s="357" t="s">
        <v>51</v>
      </c>
      <c r="C17" s="171">
        <v>29</v>
      </c>
      <c r="D17" s="171" t="s">
        <v>107</v>
      </c>
      <c r="E17" s="172">
        <f>+J17</f>
        <v>0</v>
      </c>
      <c r="F17" s="173">
        <v>12500</v>
      </c>
      <c r="I17" s="354">
        <v>73</v>
      </c>
      <c r="J17" s="365"/>
      <c r="K17" s="143"/>
      <c r="L17" s="359"/>
      <c r="M17" s="359"/>
    </row>
    <row r="18" spans="1:13" ht="12.75" customHeight="1" x14ac:dyDescent="0.3">
      <c r="A18" s="1" t="s">
        <v>87</v>
      </c>
      <c r="B18" s="357" t="s">
        <v>52</v>
      </c>
      <c r="C18" s="171">
        <v>30</v>
      </c>
      <c r="D18" s="171" t="s">
        <v>108</v>
      </c>
      <c r="E18" s="174">
        <f>+J19</f>
        <v>0</v>
      </c>
      <c r="F18" s="174">
        <v>0</v>
      </c>
      <c r="I18" s="354">
        <v>74</v>
      </c>
      <c r="J18" s="365"/>
      <c r="K18" s="143"/>
      <c r="L18" s="359"/>
      <c r="M18" s="359"/>
    </row>
    <row r="19" spans="1:13" ht="12.75" customHeight="1" x14ac:dyDescent="0.3">
      <c r="A19" s="1"/>
      <c r="B19" s="366" t="s">
        <v>417</v>
      </c>
      <c r="C19" s="362"/>
      <c r="D19" s="175" t="s">
        <v>113</v>
      </c>
      <c r="E19" s="172">
        <f>+E12-E13-E14-E15-E16-E17-E18</f>
        <v>0</v>
      </c>
      <c r="F19" s="172">
        <f>+F12-F17-F18</f>
        <v>-12500</v>
      </c>
      <c r="G19" s="6"/>
      <c r="I19" s="354">
        <v>75</v>
      </c>
      <c r="J19" s="365"/>
      <c r="K19" s="143"/>
      <c r="L19" s="359"/>
      <c r="M19" s="359"/>
    </row>
    <row r="20" spans="1:13" ht="12.75" customHeight="1" x14ac:dyDescent="0.3">
      <c r="A20" s="1"/>
      <c r="B20" s="357"/>
      <c r="C20" s="171"/>
      <c r="D20" s="171"/>
      <c r="E20" s="172"/>
      <c r="F20" s="173"/>
      <c r="I20" s="354">
        <v>76</v>
      </c>
      <c r="J20" s="356"/>
      <c r="K20" s="143"/>
      <c r="L20" s="359"/>
      <c r="M20" s="359"/>
    </row>
    <row r="21" spans="1:13" ht="12.75" customHeight="1" x14ac:dyDescent="0.3">
      <c r="A21" s="1" t="s">
        <v>88</v>
      </c>
      <c r="B21" s="357" t="s">
        <v>53</v>
      </c>
      <c r="C21" s="171">
        <v>31</v>
      </c>
      <c r="D21" s="171" t="s">
        <v>109</v>
      </c>
      <c r="E21" s="172">
        <f>+J20</f>
        <v>0</v>
      </c>
      <c r="F21" s="172">
        <v>-2416.8000000000002</v>
      </c>
      <c r="I21" s="354">
        <v>77</v>
      </c>
      <c r="J21" s="356"/>
      <c r="K21" s="143"/>
      <c r="L21" s="359"/>
      <c r="M21" s="359"/>
    </row>
    <row r="22" spans="1:13" ht="12.75" customHeight="1" x14ac:dyDescent="0.3">
      <c r="A22" s="1" t="s">
        <v>89</v>
      </c>
      <c r="B22" s="357" t="s">
        <v>54</v>
      </c>
      <c r="C22" s="171">
        <v>32</v>
      </c>
      <c r="D22" s="171" t="s">
        <v>110</v>
      </c>
      <c r="E22" s="172">
        <v>0</v>
      </c>
      <c r="F22" s="172">
        <f>K12-K21</f>
        <v>0</v>
      </c>
      <c r="I22" s="354">
        <v>78</v>
      </c>
      <c r="J22" s="358"/>
      <c r="K22" s="143"/>
      <c r="L22" s="359"/>
      <c r="M22" s="359"/>
    </row>
    <row r="23" spans="1:13" ht="12.75" customHeight="1" x14ac:dyDescent="0.3">
      <c r="A23" s="1" t="s">
        <v>90</v>
      </c>
      <c r="B23" s="357" t="s">
        <v>55</v>
      </c>
      <c r="C23" s="171">
        <v>33</v>
      </c>
      <c r="D23" s="171" t="s">
        <v>111</v>
      </c>
      <c r="E23" s="174">
        <f>J13-J22</f>
        <v>0</v>
      </c>
      <c r="F23" s="174">
        <v>0</v>
      </c>
      <c r="I23" s="354">
        <v>79</v>
      </c>
      <c r="J23" s="356"/>
      <c r="K23" s="143"/>
      <c r="L23" s="359"/>
      <c r="M23" s="359"/>
    </row>
    <row r="24" spans="1:13" ht="12.75" customHeight="1" x14ac:dyDescent="0.3">
      <c r="A24" s="1"/>
      <c r="B24" s="367" t="s">
        <v>418</v>
      </c>
      <c r="C24" s="362"/>
      <c r="D24" s="175" t="s">
        <v>114</v>
      </c>
      <c r="E24" s="363">
        <f>SUM(E19:E23)</f>
        <v>0</v>
      </c>
      <c r="F24" s="172">
        <f>SUM(F19:F23)</f>
        <v>-14916.8</v>
      </c>
      <c r="I24" s="368"/>
      <c r="J24" s="368"/>
      <c r="K24" s="6"/>
      <c r="L24" s="359"/>
      <c r="M24" s="359"/>
    </row>
    <row r="25" spans="1:13" ht="12.75" customHeight="1" x14ac:dyDescent="0.3">
      <c r="A25" s="1"/>
      <c r="B25" s="357"/>
      <c r="C25" s="171"/>
      <c r="D25" s="171"/>
      <c r="E25" s="172"/>
      <c r="F25" s="173"/>
      <c r="I25" s="6"/>
      <c r="J25" s="369"/>
      <c r="K25" s="6"/>
    </row>
    <row r="26" spans="1:13" ht="12.75" customHeight="1" x14ac:dyDescent="0.3">
      <c r="A26" s="1" t="s">
        <v>91</v>
      </c>
      <c r="B26" s="357" t="s">
        <v>57</v>
      </c>
      <c r="C26" s="171">
        <v>35</v>
      </c>
      <c r="D26" s="171" t="s">
        <v>116</v>
      </c>
      <c r="E26" s="172"/>
      <c r="F26" s="172">
        <v>0</v>
      </c>
      <c r="I26" s="6"/>
      <c r="J26" s="140"/>
      <c r="K26" s="6"/>
    </row>
    <row r="27" spans="1:13" ht="12.75" customHeight="1" x14ac:dyDescent="0.3">
      <c r="A27" s="1"/>
      <c r="B27" s="367" t="s">
        <v>419</v>
      </c>
      <c r="C27" s="171"/>
      <c r="D27" s="175" t="s">
        <v>115</v>
      </c>
      <c r="E27" s="172"/>
      <c r="F27" s="172">
        <f>-F26+F24</f>
        <v>-14916.8</v>
      </c>
      <c r="I27" s="6"/>
      <c r="J27" s="166"/>
      <c r="K27" s="6"/>
    </row>
    <row r="28" spans="1:13" ht="12.75" customHeight="1" x14ac:dyDescent="0.3">
      <c r="A28" s="1"/>
      <c r="B28" s="357"/>
      <c r="C28" s="171"/>
      <c r="D28" s="171"/>
      <c r="E28" s="172"/>
      <c r="F28" s="173"/>
      <c r="I28" s="369"/>
      <c r="J28" s="166"/>
      <c r="K28" s="6"/>
    </row>
    <row r="29" spans="1:13" ht="12.75" customHeight="1" x14ac:dyDescent="0.3">
      <c r="A29" s="1" t="s">
        <v>92</v>
      </c>
      <c r="B29" s="357" t="s">
        <v>56</v>
      </c>
      <c r="C29" s="362">
        <v>34</v>
      </c>
      <c r="D29" s="171" t="s">
        <v>117</v>
      </c>
      <c r="E29" s="172">
        <f>J14-J23</f>
        <v>0</v>
      </c>
      <c r="F29" s="172">
        <v>0</v>
      </c>
      <c r="I29" s="6"/>
      <c r="J29" s="140"/>
      <c r="K29" s="6"/>
      <c r="L29" s="359"/>
    </row>
    <row r="30" spans="1:13" ht="12.75" customHeight="1" x14ac:dyDescent="0.3">
      <c r="A30" s="1" t="s">
        <v>93</v>
      </c>
      <c r="B30" s="357" t="s">
        <v>57</v>
      </c>
      <c r="C30" s="171">
        <v>35</v>
      </c>
      <c r="D30" s="171" t="s">
        <v>118</v>
      </c>
      <c r="E30" s="172">
        <v>0</v>
      </c>
      <c r="F30" s="172">
        <v>0</v>
      </c>
      <c r="I30" s="140"/>
      <c r="J30" s="6"/>
      <c r="K30" s="6"/>
    </row>
    <row r="31" spans="1:13" ht="12.75" customHeight="1" x14ac:dyDescent="0.3">
      <c r="A31" s="1"/>
      <c r="B31" s="357"/>
      <c r="C31" s="171"/>
      <c r="D31" s="171"/>
      <c r="E31" s="172"/>
      <c r="F31" s="173"/>
      <c r="I31" s="6"/>
      <c r="J31" s="6"/>
      <c r="K31" s="6"/>
    </row>
    <row r="32" spans="1:13" ht="12.75" customHeight="1" x14ac:dyDescent="0.3">
      <c r="A32" s="2"/>
      <c r="B32" s="176" t="s">
        <v>58</v>
      </c>
      <c r="C32" s="177"/>
      <c r="D32" s="178" t="s">
        <v>119</v>
      </c>
      <c r="E32" s="179">
        <f>E24-E26+E29</f>
        <v>0</v>
      </c>
      <c r="F32" s="179">
        <f>SUM(F27:F30)</f>
        <v>-14916.8</v>
      </c>
      <c r="I32" s="369"/>
      <c r="J32" s="6"/>
      <c r="K32" s="6"/>
    </row>
    <row r="33" spans="1:12" ht="12.75" customHeight="1" x14ac:dyDescent="0.15">
      <c r="C33" s="3"/>
      <c r="D33" s="3"/>
      <c r="I33" s="166"/>
      <c r="J33" s="140"/>
      <c r="K33" s="369"/>
      <c r="L33" s="359"/>
    </row>
    <row r="34" spans="1:12" ht="12.75" customHeight="1" x14ac:dyDescent="0.15">
      <c r="A34" s="4" t="s">
        <v>120</v>
      </c>
      <c r="B34" s="4" t="s">
        <v>4</v>
      </c>
      <c r="C34" s="3"/>
      <c r="D34" s="3"/>
      <c r="I34" s="6"/>
      <c r="J34" s="140"/>
      <c r="K34" s="6"/>
    </row>
    <row r="35" spans="1:12" ht="12.75" customHeight="1" x14ac:dyDescent="0.15">
      <c r="C35" s="3"/>
      <c r="D35" s="3"/>
      <c r="I35" s="6"/>
      <c r="J35" s="140"/>
      <c r="K35" s="6"/>
    </row>
    <row r="36" spans="1:12" ht="12.75" customHeight="1" x14ac:dyDescent="0.3">
      <c r="B36" s="347"/>
      <c r="C36" s="348"/>
      <c r="D36" s="348"/>
      <c r="E36" s="347"/>
      <c r="F36" s="345"/>
      <c r="I36" s="6"/>
      <c r="J36" s="6"/>
      <c r="K36" s="6"/>
      <c r="L36" s="197"/>
    </row>
    <row r="37" spans="1:12" ht="12.75" customHeight="1" x14ac:dyDescent="0.3">
      <c r="B37" s="345"/>
      <c r="C37" s="349"/>
      <c r="D37" s="348"/>
      <c r="E37" s="343"/>
      <c r="F37" s="350"/>
      <c r="I37" s="140"/>
      <c r="J37" s="6"/>
      <c r="K37" s="6"/>
    </row>
    <row r="38" spans="1:12" ht="12.75" customHeight="1" x14ac:dyDescent="0.3">
      <c r="B38" s="344" t="s">
        <v>919</v>
      </c>
      <c r="C38" s="348"/>
      <c r="D38" s="348"/>
      <c r="E38" s="351" t="s">
        <v>920</v>
      </c>
      <c r="F38" s="346"/>
      <c r="H38" s="139"/>
      <c r="I38" s="143"/>
      <c r="J38" s="143"/>
      <c r="K38" s="6"/>
    </row>
    <row r="39" spans="1:12" ht="12.75" customHeight="1" x14ac:dyDescent="0.3">
      <c r="B39" s="343"/>
      <c r="C39" s="348"/>
      <c r="D39" s="348"/>
      <c r="E39" s="345"/>
      <c r="F39" s="345"/>
      <c r="H39" s="139"/>
      <c r="I39" s="139"/>
      <c r="J39" s="139"/>
    </row>
    <row r="40" spans="1:12" ht="12.75" customHeight="1" x14ac:dyDescent="0.15">
      <c r="B40" s="139"/>
      <c r="C40" s="3"/>
      <c r="D40" s="3"/>
      <c r="E40" s="139"/>
      <c r="F40" s="139"/>
      <c r="G40" s="139"/>
      <c r="H40" s="139"/>
      <c r="I40" s="139"/>
      <c r="J40" s="139"/>
    </row>
    <row r="41" spans="1:12" ht="12.75" customHeight="1" x14ac:dyDescent="0.15">
      <c r="B41" s="139"/>
      <c r="C41" s="3"/>
      <c r="D41" s="3"/>
      <c r="E41" s="139"/>
      <c r="F41" s="139"/>
      <c r="G41" s="139"/>
      <c r="H41" s="139"/>
      <c r="I41" s="139"/>
      <c r="J41" s="139"/>
    </row>
    <row r="42" spans="1:12" ht="12.75" customHeight="1" x14ac:dyDescent="0.15">
      <c r="B42" s="139"/>
      <c r="C42" s="3"/>
      <c r="D42" s="3"/>
      <c r="E42" s="139"/>
      <c r="F42" s="139"/>
      <c r="G42" s="139"/>
      <c r="H42" s="139"/>
      <c r="I42" s="139"/>
      <c r="J42" s="139"/>
    </row>
    <row r="43" spans="1:12" ht="12.75" customHeight="1" x14ac:dyDescent="0.15">
      <c r="B43" s="139"/>
      <c r="C43" s="3"/>
      <c r="D43" s="3"/>
      <c r="E43" s="139"/>
      <c r="F43" s="139"/>
      <c r="G43" s="139"/>
      <c r="H43" s="139"/>
      <c r="I43" s="139"/>
      <c r="J43" s="139"/>
    </row>
    <row r="44" spans="1:12" ht="12.75" customHeight="1" x14ac:dyDescent="0.15">
      <c r="B44" s="139"/>
      <c r="C44" s="3"/>
      <c r="D44" s="3"/>
      <c r="E44" s="139"/>
      <c r="F44" s="139"/>
      <c r="G44" s="139"/>
      <c r="H44" s="139"/>
      <c r="I44" s="139"/>
      <c r="J44" s="139"/>
    </row>
    <row r="45" spans="1:12" ht="12.75" customHeight="1" x14ac:dyDescent="0.15">
      <c r="B45" s="139"/>
      <c r="C45" s="3"/>
      <c r="D45" s="3"/>
      <c r="E45" s="139"/>
      <c r="F45" s="139"/>
      <c r="G45" s="139"/>
      <c r="H45" s="139"/>
      <c r="I45" s="139"/>
      <c r="J45" s="139"/>
    </row>
    <row r="46" spans="1:12" ht="12.75" customHeight="1" x14ac:dyDescent="0.15">
      <c r="B46" s="139"/>
      <c r="C46" s="3"/>
      <c r="D46" s="3"/>
      <c r="E46" s="139"/>
      <c r="F46" s="139"/>
      <c r="G46" s="139"/>
      <c r="H46" s="139"/>
      <c r="I46" s="139"/>
      <c r="J46" s="139"/>
    </row>
    <row r="47" spans="1:12" ht="12.75" customHeight="1" x14ac:dyDescent="0.15">
      <c r="B47" s="139"/>
      <c r="C47" s="3"/>
      <c r="D47" s="3"/>
      <c r="E47" s="139"/>
      <c r="F47" s="139"/>
      <c r="G47" s="139"/>
      <c r="H47" s="139"/>
      <c r="I47" s="139"/>
      <c r="J47" s="139"/>
    </row>
    <row r="48" spans="1:12" ht="12.75" customHeight="1" x14ac:dyDescent="0.15">
      <c r="B48" s="139"/>
      <c r="C48" s="3"/>
      <c r="D48" s="3"/>
      <c r="H48" s="139"/>
      <c r="I48" s="139"/>
      <c r="J48" s="139"/>
    </row>
    <row r="49" spans="2:4" ht="12.75" customHeight="1" x14ac:dyDescent="0.15">
      <c r="B49" s="139"/>
      <c r="C49" s="3"/>
      <c r="D49" s="3"/>
    </row>
    <row r="50" spans="2:4" ht="12.75" customHeight="1" x14ac:dyDescent="0.15">
      <c r="B50" s="139"/>
      <c r="C50" s="3"/>
      <c r="D50" s="3"/>
    </row>
    <row r="51" spans="2:4" ht="12.75" customHeight="1" x14ac:dyDescent="0.15">
      <c r="C51" s="3"/>
      <c r="D51" s="3"/>
    </row>
    <row r="52" spans="2:4" ht="12.75" customHeight="1" x14ac:dyDescent="0.15">
      <c r="C52" s="3"/>
      <c r="D52" s="3"/>
    </row>
    <row r="53" spans="2:4" ht="12.75" customHeight="1" x14ac:dyDescent="0.15">
      <c r="C53" s="3"/>
      <c r="D53" s="3"/>
    </row>
    <row r="54" spans="2:4" ht="12.75" customHeight="1" x14ac:dyDescent="0.15">
      <c r="C54" s="3"/>
      <c r="D54" s="3"/>
    </row>
    <row r="55" spans="2:4" ht="12.75" customHeight="1" x14ac:dyDescent="0.15">
      <c r="C55" s="3"/>
      <c r="D55" s="3"/>
    </row>
    <row r="56" spans="2:4" ht="12.75" customHeight="1" x14ac:dyDescent="0.15">
      <c r="C56" s="3"/>
      <c r="D56" s="3"/>
    </row>
    <row r="57" spans="2:4" ht="12.75" customHeight="1" x14ac:dyDescent="0.15">
      <c r="C57" s="3"/>
      <c r="D57" s="3"/>
    </row>
    <row r="58" spans="2:4" ht="12.75" customHeight="1" x14ac:dyDescent="0.15">
      <c r="C58" s="3"/>
      <c r="D58" s="3"/>
    </row>
    <row r="59" spans="2:4" ht="12.75" customHeight="1" x14ac:dyDescent="0.15">
      <c r="C59" s="3"/>
      <c r="D59" s="3"/>
    </row>
    <row r="60" spans="2:4" ht="12.75" customHeight="1" x14ac:dyDescent="0.15">
      <c r="C60" s="3"/>
      <c r="D60" s="3"/>
    </row>
    <row r="61" spans="2:4" ht="12.75" customHeight="1" x14ac:dyDescent="0.15">
      <c r="C61" s="3"/>
      <c r="D61" s="3"/>
    </row>
    <row r="62" spans="2:4" ht="12.75" customHeight="1" x14ac:dyDescent="0.15">
      <c r="C62" s="3"/>
      <c r="D62" s="3"/>
    </row>
    <row r="63" spans="2:4" ht="12.75" customHeight="1" x14ac:dyDescent="0.15">
      <c r="C63" s="3"/>
      <c r="D63" s="3"/>
    </row>
    <row r="64" spans="2:4" ht="12.75" customHeight="1" x14ac:dyDescent="0.15">
      <c r="C64" s="3"/>
      <c r="D64" s="3"/>
    </row>
    <row r="65" spans="3:4" ht="12.75" customHeight="1" x14ac:dyDescent="0.15">
      <c r="C65" s="3"/>
      <c r="D65" s="3"/>
    </row>
    <row r="66" spans="3:4" ht="12.75" customHeight="1" x14ac:dyDescent="0.15">
      <c r="C66" s="3"/>
      <c r="D66" s="3"/>
    </row>
    <row r="67" spans="3:4" ht="12.75" customHeight="1" x14ac:dyDescent="0.15">
      <c r="C67" s="3"/>
      <c r="D67" s="3"/>
    </row>
    <row r="68" spans="3:4" ht="12.75" customHeight="1" x14ac:dyDescent="0.15">
      <c r="C68" s="3"/>
      <c r="D68" s="3"/>
    </row>
    <row r="69" spans="3:4" ht="12.75" customHeight="1" x14ac:dyDescent="0.15">
      <c r="C69" s="3"/>
      <c r="D69" s="3"/>
    </row>
    <row r="70" spans="3:4" ht="12.75" customHeight="1" x14ac:dyDescent="0.15">
      <c r="C70" s="3"/>
      <c r="D70" s="3"/>
    </row>
    <row r="71" spans="3:4" ht="12.75" customHeight="1" x14ac:dyDescent="0.15">
      <c r="C71" s="3"/>
      <c r="D71" s="3"/>
    </row>
    <row r="72" spans="3:4" ht="12.75" customHeight="1" x14ac:dyDescent="0.15">
      <c r="C72" s="3"/>
      <c r="D72" s="3"/>
    </row>
    <row r="73" spans="3:4" ht="12.75" customHeight="1" x14ac:dyDescent="0.15">
      <c r="C73" s="3"/>
      <c r="D73" s="3"/>
    </row>
    <row r="74" spans="3:4" ht="12.75" customHeight="1" x14ac:dyDescent="0.15">
      <c r="C74" s="3"/>
      <c r="D74" s="3"/>
    </row>
    <row r="75" spans="3:4" ht="12.75" customHeight="1" x14ac:dyDescent="0.15">
      <c r="C75" s="3"/>
      <c r="D75" s="3"/>
    </row>
    <row r="76" spans="3:4" ht="12.75" customHeight="1" x14ac:dyDescent="0.15">
      <c r="C76" s="3"/>
      <c r="D76" s="3"/>
    </row>
    <row r="77" spans="3:4" ht="12.75" customHeight="1" x14ac:dyDescent="0.15">
      <c r="C77" s="3"/>
      <c r="D77" s="3"/>
    </row>
    <row r="78" spans="3:4" ht="12.75" customHeight="1" x14ac:dyDescent="0.15">
      <c r="C78" s="3"/>
      <c r="D78" s="3"/>
    </row>
    <row r="79" spans="3:4" ht="12.75" customHeight="1" x14ac:dyDescent="0.15">
      <c r="C79" s="3"/>
      <c r="D79" s="3"/>
    </row>
    <row r="80" spans="3:4" ht="12.75" customHeight="1" x14ac:dyDescent="0.15">
      <c r="C80" s="3"/>
      <c r="D80" s="3"/>
    </row>
    <row r="81" spans="3:4" ht="12.75" customHeight="1" x14ac:dyDescent="0.15">
      <c r="C81" s="3"/>
      <c r="D81" s="3"/>
    </row>
    <row r="82" spans="3:4" ht="12.75" customHeight="1" x14ac:dyDescent="0.15">
      <c r="C82" s="3"/>
      <c r="D82" s="3"/>
    </row>
    <row r="83" spans="3:4" ht="12.75" customHeight="1" x14ac:dyDescent="0.15">
      <c r="C83" s="3"/>
      <c r="D83" s="3"/>
    </row>
    <row r="84" spans="3:4" ht="12.75" customHeight="1" x14ac:dyDescent="0.15">
      <c r="C84" s="3"/>
      <c r="D84" s="3"/>
    </row>
    <row r="85" spans="3:4" ht="12.75" customHeight="1" x14ac:dyDescent="0.15">
      <c r="C85" s="3"/>
      <c r="D85" s="3"/>
    </row>
    <row r="86" spans="3:4" ht="12.75" customHeight="1" x14ac:dyDescent="0.15">
      <c r="C86" s="3"/>
      <c r="D86" s="3"/>
    </row>
    <row r="87" spans="3:4" ht="12.75" customHeight="1" x14ac:dyDescent="0.15">
      <c r="C87" s="3"/>
      <c r="D87" s="3"/>
    </row>
    <row r="88" spans="3:4" ht="12.75" customHeight="1" x14ac:dyDescent="0.15">
      <c r="C88" s="3"/>
      <c r="D88" s="3"/>
    </row>
    <row r="89" spans="3:4" ht="12.75" customHeight="1" x14ac:dyDescent="0.15">
      <c r="C89" s="3"/>
      <c r="D89" s="3"/>
    </row>
    <row r="90" spans="3:4" ht="12.75" customHeight="1" x14ac:dyDescent="0.15">
      <c r="C90" s="3"/>
      <c r="D90" s="3"/>
    </row>
    <row r="91" spans="3:4" ht="12.75" customHeight="1" x14ac:dyDescent="0.15">
      <c r="C91" s="3"/>
      <c r="D91" s="3"/>
    </row>
    <row r="92" spans="3:4" ht="12.75" customHeight="1" x14ac:dyDescent="0.15">
      <c r="C92" s="3"/>
      <c r="D92" s="3"/>
    </row>
    <row r="93" spans="3:4" ht="12.75" customHeight="1" x14ac:dyDescent="0.15">
      <c r="C93" s="3"/>
      <c r="D93" s="3"/>
    </row>
    <row r="94" spans="3:4" ht="12.75" customHeight="1" x14ac:dyDescent="0.15">
      <c r="C94" s="3"/>
      <c r="D94" s="3"/>
    </row>
    <row r="95" spans="3:4" ht="12.75" customHeight="1" x14ac:dyDescent="0.15">
      <c r="C95" s="3"/>
      <c r="D95" s="3"/>
    </row>
    <row r="96" spans="3:4" ht="12.75" customHeight="1" x14ac:dyDescent="0.15">
      <c r="C96" s="3"/>
      <c r="D96" s="3"/>
    </row>
    <row r="97" spans="3:4" ht="12.75" customHeight="1" x14ac:dyDescent="0.15">
      <c r="C97" s="3"/>
      <c r="D97" s="3"/>
    </row>
    <row r="98" spans="3:4" ht="12.75" customHeight="1" x14ac:dyDescent="0.15">
      <c r="C98" s="3"/>
      <c r="D98" s="3"/>
    </row>
    <row r="99" spans="3:4" ht="12.75" customHeight="1" x14ac:dyDescent="0.15">
      <c r="C99" s="3"/>
      <c r="D99" s="3"/>
    </row>
    <row r="100" spans="3:4" ht="12.75" customHeight="1" x14ac:dyDescent="0.15">
      <c r="C100" s="3"/>
      <c r="D100" s="3"/>
    </row>
    <row r="101" spans="3:4" ht="12.75" customHeight="1" x14ac:dyDescent="0.15">
      <c r="C101" s="3"/>
      <c r="D101" s="3"/>
    </row>
    <row r="102" spans="3:4" ht="12.75" customHeight="1" x14ac:dyDescent="0.15">
      <c r="C102" s="3"/>
      <c r="D102" s="3"/>
    </row>
    <row r="103" spans="3:4" ht="12.75" customHeight="1" x14ac:dyDescent="0.15">
      <c r="C103" s="3"/>
      <c r="D103" s="3"/>
    </row>
    <row r="104" spans="3:4" ht="12.75" customHeight="1" x14ac:dyDescent="0.15">
      <c r="C104" s="3"/>
      <c r="D104" s="3"/>
    </row>
    <row r="105" spans="3:4" ht="12.75" customHeight="1" x14ac:dyDescent="0.15">
      <c r="C105" s="3"/>
      <c r="D105" s="3"/>
    </row>
    <row r="106" spans="3:4" ht="12.75" customHeight="1" x14ac:dyDescent="0.15">
      <c r="C106" s="3"/>
      <c r="D106" s="3"/>
    </row>
    <row r="107" spans="3:4" ht="12.75" customHeight="1" x14ac:dyDescent="0.15">
      <c r="C107" s="3"/>
      <c r="D107" s="3"/>
    </row>
    <row r="108" spans="3:4" ht="12.75" customHeight="1" x14ac:dyDescent="0.15">
      <c r="C108" s="3"/>
      <c r="D108" s="3"/>
    </row>
    <row r="109" spans="3:4" ht="12.75" customHeight="1" x14ac:dyDescent="0.15">
      <c r="C109" s="3"/>
      <c r="D109" s="3"/>
    </row>
    <row r="110" spans="3:4" ht="12.75" customHeight="1" x14ac:dyDescent="0.15">
      <c r="C110" s="3"/>
      <c r="D110" s="3"/>
    </row>
    <row r="111" spans="3:4" ht="12.75" customHeight="1" x14ac:dyDescent="0.15">
      <c r="C111" s="3"/>
      <c r="D111" s="3"/>
    </row>
    <row r="112" spans="3:4" ht="12.75" customHeight="1" x14ac:dyDescent="0.15">
      <c r="C112" s="3"/>
      <c r="D112" s="3"/>
    </row>
    <row r="113" spans="3:4" ht="12.75" customHeight="1" x14ac:dyDescent="0.15">
      <c r="C113" s="3"/>
      <c r="D113" s="3"/>
    </row>
    <row r="114" spans="3:4" ht="12.75" customHeight="1" x14ac:dyDescent="0.15">
      <c r="C114" s="3"/>
      <c r="D114" s="3"/>
    </row>
    <row r="115" spans="3:4" ht="12.75" customHeight="1" x14ac:dyDescent="0.15">
      <c r="C115" s="3"/>
      <c r="D115" s="3"/>
    </row>
    <row r="116" spans="3:4" ht="12.75" customHeight="1" x14ac:dyDescent="0.15">
      <c r="C116" s="3"/>
      <c r="D116" s="3"/>
    </row>
    <row r="117" spans="3:4" ht="12.75" customHeight="1" x14ac:dyDescent="0.15">
      <c r="C117" s="3"/>
      <c r="D117" s="3"/>
    </row>
    <row r="118" spans="3:4" ht="12.75" customHeight="1" x14ac:dyDescent="0.15">
      <c r="C118" s="3"/>
      <c r="D118" s="3"/>
    </row>
    <row r="119" spans="3:4" ht="12.75" customHeight="1" x14ac:dyDescent="0.15">
      <c r="C119" s="3"/>
      <c r="D119" s="3"/>
    </row>
    <row r="120" spans="3:4" ht="12.75" customHeight="1" x14ac:dyDescent="0.15">
      <c r="C120" s="3"/>
      <c r="D120" s="3"/>
    </row>
    <row r="121" spans="3:4" ht="12.75" customHeight="1" x14ac:dyDescent="0.15">
      <c r="C121" s="3"/>
      <c r="D121" s="3"/>
    </row>
    <row r="122" spans="3:4" ht="12.75" customHeight="1" x14ac:dyDescent="0.15">
      <c r="C122" s="3"/>
      <c r="D122" s="3"/>
    </row>
    <row r="123" spans="3:4" ht="12.75" customHeight="1" x14ac:dyDescent="0.15">
      <c r="C123" s="3"/>
      <c r="D123" s="3"/>
    </row>
    <row r="124" spans="3:4" ht="12.75" customHeight="1" x14ac:dyDescent="0.15">
      <c r="C124" s="3"/>
      <c r="D124" s="3"/>
    </row>
    <row r="125" spans="3:4" ht="12.75" customHeight="1" x14ac:dyDescent="0.15">
      <c r="C125" s="3"/>
      <c r="D125" s="3"/>
    </row>
    <row r="126" spans="3:4" ht="12.75" customHeight="1" x14ac:dyDescent="0.15">
      <c r="C126" s="3"/>
      <c r="D126" s="3"/>
    </row>
    <row r="127" spans="3:4" ht="12.75" customHeight="1" x14ac:dyDescent="0.15">
      <c r="C127" s="3"/>
      <c r="D127" s="3"/>
    </row>
    <row r="128" spans="3:4" ht="12.75" customHeight="1" x14ac:dyDescent="0.15">
      <c r="C128" s="3"/>
      <c r="D128" s="3"/>
    </row>
    <row r="129" spans="3:4" ht="12.75" customHeight="1" x14ac:dyDescent="0.15">
      <c r="C129" s="3"/>
      <c r="D129" s="3"/>
    </row>
    <row r="130" spans="3:4" ht="12.75" customHeight="1" x14ac:dyDescent="0.15">
      <c r="C130" s="3"/>
      <c r="D130" s="3"/>
    </row>
    <row r="131" spans="3:4" ht="12.75" customHeight="1" x14ac:dyDescent="0.15">
      <c r="C131" s="3"/>
      <c r="D131" s="3"/>
    </row>
    <row r="132" spans="3:4" ht="12.75" customHeight="1" x14ac:dyDescent="0.15">
      <c r="C132" s="3"/>
      <c r="D132" s="3"/>
    </row>
    <row r="133" spans="3:4" ht="12.75" customHeight="1" x14ac:dyDescent="0.15">
      <c r="C133" s="3"/>
      <c r="D133" s="3"/>
    </row>
    <row r="134" spans="3:4" ht="12.75" customHeight="1" x14ac:dyDescent="0.15">
      <c r="C134" s="3"/>
      <c r="D134" s="3"/>
    </row>
    <row r="135" spans="3:4" ht="12.75" customHeight="1" x14ac:dyDescent="0.15">
      <c r="C135" s="3"/>
      <c r="D135" s="3"/>
    </row>
    <row r="136" spans="3:4" ht="12.75" customHeight="1" x14ac:dyDescent="0.15">
      <c r="C136" s="3"/>
      <c r="D136" s="3"/>
    </row>
    <row r="137" spans="3:4" ht="12.75" customHeight="1" x14ac:dyDescent="0.15">
      <c r="C137" s="3"/>
      <c r="D137" s="3"/>
    </row>
    <row r="138" spans="3:4" ht="12.75" customHeight="1" x14ac:dyDescent="0.15">
      <c r="C138" s="3"/>
      <c r="D138" s="3"/>
    </row>
    <row r="139" spans="3:4" ht="12.75" customHeight="1" x14ac:dyDescent="0.15">
      <c r="C139" s="3"/>
      <c r="D139" s="3"/>
    </row>
    <row r="140" spans="3:4" ht="12.75" customHeight="1" x14ac:dyDescent="0.15">
      <c r="C140" s="3"/>
      <c r="D140" s="3"/>
    </row>
    <row r="141" spans="3:4" ht="12.75" customHeight="1" x14ac:dyDescent="0.15">
      <c r="C141" s="3"/>
      <c r="D141" s="3"/>
    </row>
    <row r="142" spans="3:4" ht="12.75" customHeight="1" x14ac:dyDescent="0.15">
      <c r="C142" s="3"/>
      <c r="D142" s="3"/>
    </row>
    <row r="143" spans="3:4" ht="12.75" customHeight="1" x14ac:dyDescent="0.15">
      <c r="C143" s="3"/>
      <c r="D143" s="3"/>
    </row>
    <row r="144" spans="3:4" ht="12.75" customHeight="1" x14ac:dyDescent="0.15">
      <c r="C144" s="3"/>
      <c r="D144" s="3"/>
    </row>
    <row r="145" spans="3:4" ht="12.75" customHeight="1" x14ac:dyDescent="0.15">
      <c r="C145" s="3"/>
      <c r="D145" s="3"/>
    </row>
    <row r="146" spans="3:4" ht="12.75" customHeight="1" x14ac:dyDescent="0.15">
      <c r="C146" s="3"/>
      <c r="D146" s="3"/>
    </row>
    <row r="147" spans="3:4" ht="12.75" customHeight="1" x14ac:dyDescent="0.15">
      <c r="C147" s="3"/>
      <c r="D147" s="3"/>
    </row>
    <row r="148" spans="3:4" ht="12.75" customHeight="1" x14ac:dyDescent="0.15">
      <c r="C148" s="3"/>
      <c r="D148" s="3"/>
    </row>
    <row r="149" spans="3:4" ht="12.75" customHeight="1" x14ac:dyDescent="0.15">
      <c r="C149" s="3"/>
      <c r="D149" s="3"/>
    </row>
    <row r="150" spans="3:4" ht="12.75" customHeight="1" x14ac:dyDescent="0.15">
      <c r="C150" s="3"/>
      <c r="D150" s="3"/>
    </row>
    <row r="151" spans="3:4" ht="12.75" customHeight="1" x14ac:dyDescent="0.15">
      <c r="C151" s="3"/>
      <c r="D151" s="3"/>
    </row>
    <row r="152" spans="3:4" ht="12.75" customHeight="1" x14ac:dyDescent="0.15">
      <c r="C152" s="3"/>
      <c r="D152" s="3"/>
    </row>
    <row r="153" spans="3:4" ht="12.75" customHeight="1" x14ac:dyDescent="0.15">
      <c r="C153" s="3"/>
      <c r="D153" s="3"/>
    </row>
    <row r="154" spans="3:4" ht="12.75" customHeight="1" x14ac:dyDescent="0.15">
      <c r="C154" s="3"/>
      <c r="D154" s="3"/>
    </row>
    <row r="155" spans="3:4" ht="12.75" customHeight="1" x14ac:dyDescent="0.15">
      <c r="C155" s="3"/>
      <c r="D155" s="3"/>
    </row>
    <row r="156" spans="3:4" ht="12.75" customHeight="1" x14ac:dyDescent="0.15">
      <c r="C156" s="3"/>
      <c r="D156" s="3"/>
    </row>
    <row r="157" spans="3:4" ht="12.75" customHeight="1" x14ac:dyDescent="0.15">
      <c r="C157" s="3"/>
      <c r="D157" s="3"/>
    </row>
    <row r="158" spans="3:4" ht="12.75" customHeight="1" x14ac:dyDescent="0.15">
      <c r="C158" s="3"/>
      <c r="D158" s="3"/>
    </row>
    <row r="159" spans="3:4" ht="12.75" customHeight="1" x14ac:dyDescent="0.15">
      <c r="C159" s="3"/>
      <c r="D159" s="3"/>
    </row>
    <row r="160" spans="3:4" ht="12.75" customHeight="1" x14ac:dyDescent="0.15">
      <c r="C160" s="3"/>
      <c r="D160" s="3"/>
    </row>
    <row r="161" spans="3:4" ht="12.75" customHeight="1" x14ac:dyDescent="0.15">
      <c r="C161" s="3"/>
      <c r="D161" s="3"/>
    </row>
    <row r="162" spans="3:4" ht="12.75" customHeight="1" x14ac:dyDescent="0.15">
      <c r="C162" s="3"/>
      <c r="D162" s="3"/>
    </row>
    <row r="163" spans="3:4" ht="12.75" customHeight="1" x14ac:dyDescent="0.15">
      <c r="C163" s="3"/>
      <c r="D163" s="3"/>
    </row>
    <row r="164" spans="3:4" ht="12.75" customHeight="1" x14ac:dyDescent="0.15">
      <c r="C164" s="3"/>
      <c r="D164" s="3"/>
    </row>
    <row r="165" spans="3:4" ht="12.75" customHeight="1" x14ac:dyDescent="0.15">
      <c r="C165" s="3"/>
      <c r="D165" s="3"/>
    </row>
    <row r="166" spans="3:4" ht="12.75" customHeight="1" x14ac:dyDescent="0.15">
      <c r="C166" s="3"/>
      <c r="D166" s="3"/>
    </row>
    <row r="167" spans="3:4" ht="12.75" customHeight="1" x14ac:dyDescent="0.15">
      <c r="C167" s="3"/>
      <c r="D167" s="3"/>
    </row>
    <row r="168" spans="3:4" ht="12.75" customHeight="1" x14ac:dyDescent="0.15">
      <c r="C168" s="3"/>
      <c r="D168" s="3"/>
    </row>
    <row r="169" spans="3:4" ht="12.75" customHeight="1" x14ac:dyDescent="0.15">
      <c r="C169" s="3"/>
      <c r="D169" s="3"/>
    </row>
    <row r="170" spans="3:4" ht="12.75" customHeight="1" x14ac:dyDescent="0.15">
      <c r="C170" s="3"/>
      <c r="D170" s="3"/>
    </row>
    <row r="171" spans="3:4" ht="12.75" customHeight="1" x14ac:dyDescent="0.15">
      <c r="C171" s="3"/>
      <c r="D171" s="3"/>
    </row>
    <row r="172" spans="3:4" ht="12.75" customHeight="1" x14ac:dyDescent="0.15">
      <c r="C172" s="3"/>
      <c r="D172" s="3"/>
    </row>
    <row r="173" spans="3:4" ht="12.75" customHeight="1" x14ac:dyDescent="0.15">
      <c r="C173" s="3"/>
      <c r="D173" s="3"/>
    </row>
    <row r="174" spans="3:4" ht="12.75" customHeight="1" x14ac:dyDescent="0.15">
      <c r="C174" s="3"/>
      <c r="D174" s="3"/>
    </row>
    <row r="175" spans="3:4" ht="12.75" customHeight="1" x14ac:dyDescent="0.15">
      <c r="C175" s="3"/>
      <c r="D175" s="3"/>
    </row>
    <row r="176" spans="3:4" ht="12.75" customHeight="1" x14ac:dyDescent="0.15">
      <c r="C176" s="3"/>
      <c r="D176" s="3"/>
    </row>
    <row r="177" spans="3:4" ht="12.75" customHeight="1" x14ac:dyDescent="0.15">
      <c r="C177" s="3"/>
      <c r="D177" s="3"/>
    </row>
    <row r="178" spans="3:4" ht="12.75" customHeight="1" x14ac:dyDescent="0.15">
      <c r="C178" s="3"/>
      <c r="D178" s="3"/>
    </row>
    <row r="179" spans="3:4" ht="12.75" customHeight="1" x14ac:dyDescent="0.15">
      <c r="C179" s="3"/>
      <c r="D179" s="3"/>
    </row>
    <row r="180" spans="3:4" ht="12.75" customHeight="1" x14ac:dyDescent="0.15">
      <c r="C180" s="3"/>
      <c r="D180" s="3"/>
    </row>
    <row r="181" spans="3:4" ht="12.75" customHeight="1" x14ac:dyDescent="0.15">
      <c r="C181" s="3"/>
      <c r="D181" s="3"/>
    </row>
    <row r="182" spans="3:4" ht="12.75" customHeight="1" x14ac:dyDescent="0.15">
      <c r="C182" s="3"/>
      <c r="D182" s="3"/>
    </row>
    <row r="183" spans="3:4" ht="12.75" customHeight="1" x14ac:dyDescent="0.15">
      <c r="C183" s="3"/>
      <c r="D183" s="3"/>
    </row>
    <row r="184" spans="3:4" ht="12.75" customHeight="1" x14ac:dyDescent="0.15">
      <c r="C184" s="3"/>
      <c r="D184" s="3"/>
    </row>
    <row r="185" spans="3:4" ht="12.75" customHeight="1" x14ac:dyDescent="0.15">
      <c r="C185" s="3"/>
      <c r="D185" s="3"/>
    </row>
    <row r="186" spans="3:4" ht="12.75" customHeight="1" x14ac:dyDescent="0.15">
      <c r="C186" s="3"/>
      <c r="D186" s="3"/>
    </row>
    <row r="187" spans="3:4" ht="12.75" customHeight="1" x14ac:dyDescent="0.15">
      <c r="C187" s="3"/>
      <c r="D187" s="3"/>
    </row>
    <row r="188" spans="3:4" ht="12.75" customHeight="1" x14ac:dyDescent="0.15">
      <c r="C188" s="3"/>
      <c r="D188" s="3"/>
    </row>
    <row r="189" spans="3:4" ht="12.75" customHeight="1" x14ac:dyDescent="0.15">
      <c r="C189" s="3"/>
      <c r="D189" s="3"/>
    </row>
    <row r="190" spans="3:4" ht="12.75" customHeight="1" x14ac:dyDescent="0.15">
      <c r="C190" s="3"/>
      <c r="D190" s="3"/>
    </row>
    <row r="191" spans="3:4" ht="12.75" customHeight="1" x14ac:dyDescent="0.15">
      <c r="C191" s="3"/>
      <c r="D191" s="3"/>
    </row>
    <row r="192" spans="3:4" ht="12.75" customHeight="1" x14ac:dyDescent="0.15">
      <c r="C192" s="3"/>
      <c r="D192" s="3"/>
    </row>
    <row r="193" spans="3:4" ht="12.75" customHeight="1" x14ac:dyDescent="0.15">
      <c r="C193" s="3"/>
      <c r="D193" s="3"/>
    </row>
    <row r="194" spans="3:4" ht="12.75" customHeight="1" x14ac:dyDescent="0.15">
      <c r="C194" s="3"/>
      <c r="D194" s="3"/>
    </row>
    <row r="195" spans="3:4" ht="12.75" customHeight="1" x14ac:dyDescent="0.15">
      <c r="C195" s="3"/>
      <c r="D195" s="3"/>
    </row>
    <row r="196" spans="3:4" ht="12.75" customHeight="1" x14ac:dyDescent="0.15">
      <c r="C196" s="3"/>
      <c r="D196" s="3"/>
    </row>
    <row r="197" spans="3:4" ht="12.75" customHeight="1" x14ac:dyDescent="0.15">
      <c r="C197" s="3"/>
      <c r="D197" s="3"/>
    </row>
    <row r="198" spans="3:4" ht="12.75" customHeight="1" x14ac:dyDescent="0.15">
      <c r="C198" s="3"/>
      <c r="D198" s="3"/>
    </row>
    <row r="199" spans="3:4" ht="12.75" customHeight="1" x14ac:dyDescent="0.15">
      <c r="C199" s="3"/>
      <c r="D199" s="3"/>
    </row>
    <row r="200" spans="3:4" ht="12.75" customHeight="1" x14ac:dyDescent="0.15">
      <c r="C200" s="3"/>
      <c r="D200" s="3"/>
    </row>
    <row r="201" spans="3:4" ht="12.75" customHeight="1" x14ac:dyDescent="0.15">
      <c r="C201" s="3"/>
      <c r="D201" s="3"/>
    </row>
    <row r="202" spans="3:4" ht="12.75" customHeight="1" x14ac:dyDescent="0.15">
      <c r="C202" s="3"/>
      <c r="D202" s="3"/>
    </row>
    <row r="203" spans="3:4" ht="12.75" customHeight="1" x14ac:dyDescent="0.15">
      <c r="C203" s="3"/>
      <c r="D203" s="3"/>
    </row>
    <row r="204" spans="3:4" ht="12.75" customHeight="1" x14ac:dyDescent="0.15">
      <c r="C204" s="3"/>
      <c r="D204" s="3"/>
    </row>
    <row r="205" spans="3:4" ht="12.75" customHeight="1" x14ac:dyDescent="0.15">
      <c r="C205" s="3"/>
      <c r="D205" s="3"/>
    </row>
    <row r="206" spans="3:4" ht="12.75" customHeight="1" x14ac:dyDescent="0.15">
      <c r="C206" s="3"/>
      <c r="D206" s="3"/>
    </row>
    <row r="207" spans="3:4" ht="12.75" customHeight="1" x14ac:dyDescent="0.15">
      <c r="C207" s="3"/>
      <c r="D207" s="3"/>
    </row>
    <row r="208" spans="3:4" ht="12.75" customHeight="1" x14ac:dyDescent="0.15">
      <c r="C208" s="3"/>
      <c r="D208" s="3"/>
    </row>
    <row r="209" spans="3:4" ht="12.75" customHeight="1" x14ac:dyDescent="0.15">
      <c r="C209" s="3"/>
      <c r="D209" s="3"/>
    </row>
    <row r="210" spans="3:4" ht="12.75" customHeight="1" x14ac:dyDescent="0.15">
      <c r="C210" s="3"/>
      <c r="D210" s="3"/>
    </row>
    <row r="211" spans="3:4" ht="12.75" customHeight="1" x14ac:dyDescent="0.15">
      <c r="C211" s="3"/>
      <c r="D211" s="3"/>
    </row>
    <row r="212" spans="3:4" ht="12.75" customHeight="1" x14ac:dyDescent="0.15">
      <c r="C212" s="3"/>
      <c r="D212" s="3"/>
    </row>
    <row r="213" spans="3:4" ht="12.75" customHeight="1" x14ac:dyDescent="0.15">
      <c r="C213" s="3"/>
      <c r="D213" s="3"/>
    </row>
    <row r="214" spans="3:4" ht="12.75" customHeight="1" x14ac:dyDescent="0.15">
      <c r="C214" s="3"/>
      <c r="D214" s="3"/>
    </row>
    <row r="215" spans="3:4" ht="12.75" customHeight="1" x14ac:dyDescent="0.15">
      <c r="C215" s="3"/>
      <c r="D215" s="3"/>
    </row>
    <row r="216" spans="3:4" ht="12.75" customHeight="1" x14ac:dyDescent="0.15">
      <c r="C216" s="3"/>
      <c r="D216" s="3"/>
    </row>
    <row r="217" spans="3:4" ht="12.75" customHeight="1" x14ac:dyDescent="0.15">
      <c r="C217" s="3"/>
      <c r="D217" s="3"/>
    </row>
    <row r="218" spans="3:4" ht="12.75" customHeight="1" x14ac:dyDescent="0.15">
      <c r="C218" s="3"/>
      <c r="D218" s="3"/>
    </row>
    <row r="219" spans="3:4" ht="12.75" customHeight="1" x14ac:dyDescent="0.15">
      <c r="C219" s="3"/>
      <c r="D219" s="3"/>
    </row>
    <row r="220" spans="3:4" ht="12.75" customHeight="1" x14ac:dyDescent="0.15">
      <c r="C220" s="3"/>
      <c r="D220" s="3"/>
    </row>
    <row r="221" spans="3:4" ht="12.75" customHeight="1" x14ac:dyDescent="0.15">
      <c r="C221" s="3"/>
      <c r="D221" s="3"/>
    </row>
    <row r="222" spans="3:4" ht="12.75" customHeight="1" x14ac:dyDescent="0.15">
      <c r="C222" s="3"/>
      <c r="D222" s="3"/>
    </row>
    <row r="223" spans="3:4" ht="12.75" customHeight="1" x14ac:dyDescent="0.15">
      <c r="C223" s="3"/>
      <c r="D223" s="3"/>
    </row>
    <row r="224" spans="3:4" ht="12.75" customHeight="1" x14ac:dyDescent="0.15">
      <c r="C224" s="3"/>
      <c r="D224" s="3"/>
    </row>
    <row r="225" spans="3:4" ht="12.75" customHeight="1" x14ac:dyDescent="0.15">
      <c r="C225" s="3"/>
      <c r="D225" s="3"/>
    </row>
    <row r="226" spans="3:4" ht="12.75" customHeight="1" x14ac:dyDescent="0.15">
      <c r="C226" s="3"/>
      <c r="D226" s="3"/>
    </row>
    <row r="227" spans="3:4" ht="12.75" customHeight="1" x14ac:dyDescent="0.15">
      <c r="C227" s="3"/>
      <c r="D227" s="3"/>
    </row>
    <row r="228" spans="3:4" ht="12.75" customHeight="1" x14ac:dyDescent="0.15">
      <c r="C228" s="3"/>
      <c r="D228" s="3"/>
    </row>
    <row r="229" spans="3:4" ht="12.75" customHeight="1" x14ac:dyDescent="0.15">
      <c r="C229" s="3"/>
      <c r="D229" s="3"/>
    </row>
    <row r="230" spans="3:4" ht="12.75" customHeight="1" x14ac:dyDescent="0.15">
      <c r="C230" s="3"/>
      <c r="D230" s="3"/>
    </row>
    <row r="231" spans="3:4" ht="12.75" customHeight="1" x14ac:dyDescent="0.15">
      <c r="C231" s="3"/>
      <c r="D231" s="3"/>
    </row>
    <row r="232" spans="3:4" ht="12.75" customHeight="1" x14ac:dyDescent="0.15">
      <c r="C232" s="3"/>
      <c r="D232" s="3"/>
    </row>
    <row r="233" spans="3:4" ht="12.75" customHeight="1" x14ac:dyDescent="0.15">
      <c r="C233" s="3"/>
      <c r="D233" s="3"/>
    </row>
    <row r="234" spans="3:4" ht="12.75" customHeight="1" x14ac:dyDescent="0.15">
      <c r="C234" s="3"/>
      <c r="D234" s="3"/>
    </row>
    <row r="235" spans="3:4" ht="12.75" customHeight="1" x14ac:dyDescent="0.15">
      <c r="C235" s="3"/>
      <c r="D235" s="3"/>
    </row>
    <row r="236" spans="3:4" ht="12.75" customHeight="1" x14ac:dyDescent="0.15">
      <c r="C236" s="3"/>
      <c r="D236" s="3"/>
    </row>
    <row r="237" spans="3:4" ht="12.75" customHeight="1" x14ac:dyDescent="0.15">
      <c r="C237" s="3"/>
      <c r="D237" s="3"/>
    </row>
    <row r="238" spans="3:4" ht="12.75" customHeight="1" x14ac:dyDescent="0.15">
      <c r="C238" s="3"/>
      <c r="D238" s="3"/>
    </row>
    <row r="239" spans="3:4" ht="12.75" customHeight="1" x14ac:dyDescent="0.15">
      <c r="C239" s="3"/>
      <c r="D239" s="3"/>
    </row>
    <row r="240" spans="3:4" ht="12.75" customHeight="1" x14ac:dyDescent="0.15">
      <c r="C240" s="3"/>
      <c r="D240" s="3"/>
    </row>
    <row r="241" spans="3:4" ht="12.75" customHeight="1" x14ac:dyDescent="0.15">
      <c r="C241" s="3"/>
      <c r="D241" s="3"/>
    </row>
    <row r="242" spans="3:4" ht="12.75" customHeight="1" x14ac:dyDescent="0.15">
      <c r="C242" s="3"/>
      <c r="D242" s="3"/>
    </row>
    <row r="243" spans="3:4" ht="12.75" customHeight="1" x14ac:dyDescent="0.15">
      <c r="C243" s="3"/>
      <c r="D243" s="3"/>
    </row>
    <row r="244" spans="3:4" ht="12.75" customHeight="1" x14ac:dyDescent="0.15">
      <c r="C244" s="3"/>
      <c r="D244" s="3"/>
    </row>
    <row r="245" spans="3:4" ht="12.75" customHeight="1" x14ac:dyDescent="0.15">
      <c r="C245" s="3"/>
      <c r="D245" s="3"/>
    </row>
    <row r="246" spans="3:4" ht="12.75" customHeight="1" x14ac:dyDescent="0.15">
      <c r="C246" s="3"/>
      <c r="D246" s="3"/>
    </row>
    <row r="247" spans="3:4" ht="12.75" customHeight="1" x14ac:dyDescent="0.15">
      <c r="C247" s="3"/>
      <c r="D247" s="3"/>
    </row>
    <row r="248" spans="3:4" ht="12.75" customHeight="1" x14ac:dyDescent="0.15">
      <c r="C248" s="3"/>
      <c r="D248" s="3"/>
    </row>
    <row r="249" spans="3:4" ht="12.75" customHeight="1" x14ac:dyDescent="0.15">
      <c r="C249" s="3"/>
      <c r="D249" s="3"/>
    </row>
    <row r="250" spans="3:4" ht="12.75" customHeight="1" x14ac:dyDescent="0.15">
      <c r="C250" s="3"/>
      <c r="D250" s="3"/>
    </row>
    <row r="251" spans="3:4" ht="12.75" customHeight="1" x14ac:dyDescent="0.15">
      <c r="C251" s="3"/>
      <c r="D251" s="3"/>
    </row>
    <row r="252" spans="3:4" ht="12.75" customHeight="1" x14ac:dyDescent="0.15">
      <c r="C252" s="3"/>
      <c r="D252" s="3"/>
    </row>
    <row r="253" spans="3:4" ht="12.75" customHeight="1" x14ac:dyDescent="0.15">
      <c r="C253" s="3"/>
      <c r="D253" s="3"/>
    </row>
    <row r="254" spans="3:4" ht="12.75" customHeight="1" x14ac:dyDescent="0.15">
      <c r="C254" s="3"/>
      <c r="D254" s="3"/>
    </row>
    <row r="255" spans="3:4" ht="12.75" customHeight="1" x14ac:dyDescent="0.15">
      <c r="C255" s="3"/>
      <c r="D255" s="3"/>
    </row>
    <row r="256" spans="3:4" ht="12.75" customHeight="1" x14ac:dyDescent="0.15">
      <c r="C256" s="3"/>
      <c r="D256" s="3"/>
    </row>
    <row r="257" spans="3:4" ht="12.75" customHeight="1" x14ac:dyDescent="0.15">
      <c r="C257" s="3"/>
      <c r="D257" s="3"/>
    </row>
    <row r="258" spans="3:4" ht="12.75" customHeight="1" x14ac:dyDescent="0.15">
      <c r="C258" s="3"/>
      <c r="D258" s="3"/>
    </row>
    <row r="259" spans="3:4" ht="12.75" customHeight="1" x14ac:dyDescent="0.15">
      <c r="C259" s="3"/>
      <c r="D259" s="3"/>
    </row>
    <row r="260" spans="3:4" ht="12.75" customHeight="1" x14ac:dyDescent="0.15">
      <c r="C260" s="3"/>
      <c r="D260" s="3"/>
    </row>
    <row r="261" spans="3:4" ht="12.75" customHeight="1" x14ac:dyDescent="0.15">
      <c r="C261" s="3"/>
      <c r="D261" s="3"/>
    </row>
    <row r="262" spans="3:4" ht="12.75" customHeight="1" x14ac:dyDescent="0.15">
      <c r="C262" s="3"/>
      <c r="D262" s="3"/>
    </row>
    <row r="263" spans="3:4" ht="12.75" customHeight="1" x14ac:dyDescent="0.15">
      <c r="C263" s="3"/>
      <c r="D263" s="3"/>
    </row>
    <row r="264" spans="3:4" ht="12.75" customHeight="1" x14ac:dyDescent="0.15">
      <c r="C264" s="3"/>
      <c r="D264" s="3"/>
    </row>
    <row r="265" spans="3:4" ht="12.75" customHeight="1" x14ac:dyDescent="0.15">
      <c r="C265" s="3"/>
      <c r="D265" s="3"/>
    </row>
    <row r="266" spans="3:4" ht="12.75" customHeight="1" x14ac:dyDescent="0.15">
      <c r="C266" s="3"/>
      <c r="D266" s="3"/>
    </row>
    <row r="267" spans="3:4" ht="12.75" customHeight="1" x14ac:dyDescent="0.15">
      <c r="C267" s="3"/>
      <c r="D267" s="3"/>
    </row>
    <row r="268" spans="3:4" ht="12.75" customHeight="1" x14ac:dyDescent="0.15">
      <c r="C268" s="3"/>
      <c r="D268" s="3"/>
    </row>
    <row r="269" spans="3:4" ht="12.75" customHeight="1" x14ac:dyDescent="0.15">
      <c r="C269" s="3"/>
      <c r="D269" s="3"/>
    </row>
    <row r="270" spans="3:4" ht="12.75" customHeight="1" x14ac:dyDescent="0.15">
      <c r="C270" s="3"/>
      <c r="D270" s="3"/>
    </row>
    <row r="271" spans="3:4" ht="12.75" customHeight="1" x14ac:dyDescent="0.15">
      <c r="C271" s="3"/>
      <c r="D271" s="3"/>
    </row>
    <row r="272" spans="3:4" ht="12.75" customHeight="1" x14ac:dyDescent="0.15">
      <c r="C272" s="3"/>
      <c r="D272" s="3"/>
    </row>
    <row r="273" spans="3:4" ht="12.75" customHeight="1" x14ac:dyDescent="0.15">
      <c r="C273" s="3"/>
      <c r="D273" s="3"/>
    </row>
    <row r="274" spans="3:4" ht="12.75" customHeight="1" x14ac:dyDescent="0.15">
      <c r="C274" s="3"/>
      <c r="D274" s="3"/>
    </row>
    <row r="275" spans="3:4" ht="12.75" customHeight="1" x14ac:dyDescent="0.15">
      <c r="C275" s="3"/>
      <c r="D275" s="3"/>
    </row>
    <row r="276" spans="3:4" ht="12.75" customHeight="1" x14ac:dyDescent="0.15">
      <c r="C276" s="3"/>
      <c r="D276" s="3"/>
    </row>
    <row r="277" spans="3:4" ht="12.75" customHeight="1" x14ac:dyDescent="0.15">
      <c r="C277" s="3"/>
      <c r="D277" s="3"/>
    </row>
    <row r="278" spans="3:4" ht="12.75" customHeight="1" x14ac:dyDescent="0.15">
      <c r="C278" s="3"/>
      <c r="D278" s="3"/>
    </row>
    <row r="279" spans="3:4" ht="12.75" customHeight="1" x14ac:dyDescent="0.15">
      <c r="C279" s="3"/>
      <c r="D279" s="3"/>
    </row>
    <row r="280" spans="3:4" ht="12.75" customHeight="1" x14ac:dyDescent="0.15">
      <c r="C280" s="3"/>
      <c r="D280" s="3"/>
    </row>
    <row r="281" spans="3:4" ht="12.75" customHeight="1" x14ac:dyDescent="0.15">
      <c r="C281" s="3"/>
      <c r="D281" s="3"/>
    </row>
    <row r="282" spans="3:4" ht="12.75" customHeight="1" x14ac:dyDescent="0.15">
      <c r="C282" s="3"/>
      <c r="D282" s="3"/>
    </row>
    <row r="283" spans="3:4" ht="12.75" customHeight="1" x14ac:dyDescent="0.15">
      <c r="C283" s="3"/>
      <c r="D283" s="3"/>
    </row>
    <row r="284" spans="3:4" ht="12.75" customHeight="1" x14ac:dyDescent="0.15">
      <c r="C284" s="3"/>
      <c r="D284" s="3"/>
    </row>
    <row r="285" spans="3:4" ht="12.75" customHeight="1" x14ac:dyDescent="0.15">
      <c r="C285" s="3"/>
      <c r="D285" s="3"/>
    </row>
    <row r="286" spans="3:4" ht="12.75" customHeight="1" x14ac:dyDescent="0.15">
      <c r="C286" s="3"/>
      <c r="D286" s="3"/>
    </row>
    <row r="287" spans="3:4" ht="12.75" customHeight="1" x14ac:dyDescent="0.15">
      <c r="C287" s="3"/>
      <c r="D287" s="3"/>
    </row>
    <row r="288" spans="3:4" ht="12.75" customHeight="1" x14ac:dyDescent="0.15">
      <c r="C288" s="3"/>
      <c r="D288" s="3"/>
    </row>
    <row r="289" spans="3:4" ht="12.75" customHeight="1" x14ac:dyDescent="0.15">
      <c r="C289" s="3"/>
      <c r="D289" s="3"/>
    </row>
    <row r="290" spans="3:4" ht="12.75" customHeight="1" x14ac:dyDescent="0.15">
      <c r="C290" s="3"/>
      <c r="D290" s="3"/>
    </row>
    <row r="291" spans="3:4" ht="12.75" customHeight="1" x14ac:dyDescent="0.15">
      <c r="C291" s="3"/>
      <c r="D291" s="3"/>
    </row>
    <row r="292" spans="3:4" ht="12.75" customHeight="1" x14ac:dyDescent="0.15">
      <c r="C292" s="3"/>
      <c r="D292" s="3"/>
    </row>
    <row r="293" spans="3:4" ht="12.75" customHeight="1" x14ac:dyDescent="0.15">
      <c r="C293" s="3"/>
      <c r="D293" s="3"/>
    </row>
    <row r="294" spans="3:4" ht="12.75" customHeight="1" x14ac:dyDescent="0.15">
      <c r="C294" s="3"/>
      <c r="D294" s="3"/>
    </row>
    <row r="295" spans="3:4" ht="12.75" customHeight="1" x14ac:dyDescent="0.15">
      <c r="C295" s="3"/>
      <c r="D295" s="3"/>
    </row>
    <row r="296" spans="3:4" ht="12.75" customHeight="1" x14ac:dyDescent="0.15">
      <c r="C296" s="3"/>
      <c r="D296" s="3"/>
    </row>
    <row r="297" spans="3:4" ht="12.75" customHeight="1" x14ac:dyDescent="0.15">
      <c r="C297" s="3"/>
      <c r="D297" s="3"/>
    </row>
    <row r="298" spans="3:4" ht="12.75" customHeight="1" x14ac:dyDescent="0.15">
      <c r="C298" s="3"/>
      <c r="D298" s="3"/>
    </row>
    <row r="299" spans="3:4" ht="12.75" customHeight="1" x14ac:dyDescent="0.15">
      <c r="C299" s="3"/>
      <c r="D299" s="3"/>
    </row>
    <row r="300" spans="3:4" ht="12.75" customHeight="1" x14ac:dyDescent="0.15">
      <c r="C300" s="3"/>
      <c r="D300" s="3"/>
    </row>
    <row r="301" spans="3:4" ht="12.75" customHeight="1" x14ac:dyDescent="0.15">
      <c r="C301" s="3"/>
      <c r="D301" s="3"/>
    </row>
    <row r="302" spans="3:4" ht="12.75" customHeight="1" x14ac:dyDescent="0.15">
      <c r="C302" s="3"/>
      <c r="D302" s="3"/>
    </row>
    <row r="303" spans="3:4" ht="12.75" customHeight="1" x14ac:dyDescent="0.15">
      <c r="C303" s="3"/>
      <c r="D303" s="3"/>
    </row>
    <row r="304" spans="3:4" ht="12.75" customHeight="1" x14ac:dyDescent="0.15">
      <c r="C304" s="3"/>
      <c r="D304" s="3"/>
    </row>
    <row r="305" spans="3:4" ht="12.75" customHeight="1" x14ac:dyDescent="0.15">
      <c r="C305" s="3"/>
      <c r="D305" s="3"/>
    </row>
    <row r="306" spans="3:4" ht="12.75" customHeight="1" x14ac:dyDescent="0.15">
      <c r="C306" s="3"/>
      <c r="D306" s="3"/>
    </row>
    <row r="307" spans="3:4" ht="12.75" customHeight="1" x14ac:dyDescent="0.15">
      <c r="C307" s="3"/>
      <c r="D307" s="3"/>
    </row>
    <row r="308" spans="3:4" ht="12.75" customHeight="1" x14ac:dyDescent="0.15">
      <c r="C308" s="3"/>
      <c r="D308" s="3"/>
    </row>
    <row r="309" spans="3:4" ht="12.75" customHeight="1" x14ac:dyDescent="0.15">
      <c r="C309" s="3"/>
      <c r="D309" s="3"/>
    </row>
    <row r="310" spans="3:4" ht="12.75" customHeight="1" x14ac:dyDescent="0.15">
      <c r="C310" s="3"/>
      <c r="D310" s="3"/>
    </row>
    <row r="311" spans="3:4" ht="12.75" customHeight="1" x14ac:dyDescent="0.15">
      <c r="C311" s="3"/>
      <c r="D311" s="3"/>
    </row>
    <row r="312" spans="3:4" ht="12.75" customHeight="1" x14ac:dyDescent="0.15">
      <c r="C312" s="3"/>
      <c r="D312" s="3"/>
    </row>
    <row r="313" spans="3:4" ht="12.75" customHeight="1" x14ac:dyDescent="0.15">
      <c r="C313" s="3"/>
      <c r="D313" s="3"/>
    </row>
    <row r="314" spans="3:4" ht="12.75" customHeight="1" x14ac:dyDescent="0.15">
      <c r="C314" s="3"/>
      <c r="D314" s="3"/>
    </row>
    <row r="315" spans="3:4" ht="12.75" customHeight="1" x14ac:dyDescent="0.15">
      <c r="C315" s="3"/>
      <c r="D315" s="3"/>
    </row>
    <row r="316" spans="3:4" ht="12.75" customHeight="1" x14ac:dyDescent="0.15">
      <c r="C316" s="3"/>
      <c r="D316" s="3"/>
    </row>
    <row r="317" spans="3:4" ht="12.75" customHeight="1" x14ac:dyDescent="0.15">
      <c r="C317" s="3"/>
      <c r="D317" s="3"/>
    </row>
    <row r="318" spans="3:4" ht="12.75" customHeight="1" x14ac:dyDescent="0.15">
      <c r="C318" s="3"/>
      <c r="D318" s="3"/>
    </row>
    <row r="319" spans="3:4" ht="12.75" customHeight="1" x14ac:dyDescent="0.15">
      <c r="C319" s="3"/>
      <c r="D319" s="3"/>
    </row>
    <row r="320" spans="3:4" ht="12.75" customHeight="1" x14ac:dyDescent="0.15">
      <c r="C320" s="3"/>
      <c r="D320" s="3"/>
    </row>
    <row r="321" spans="3:4" ht="12.75" customHeight="1" x14ac:dyDescent="0.15">
      <c r="C321" s="3"/>
      <c r="D321" s="3"/>
    </row>
    <row r="322" spans="3:4" ht="12.75" customHeight="1" x14ac:dyDescent="0.15">
      <c r="C322" s="3"/>
      <c r="D322" s="3"/>
    </row>
    <row r="323" spans="3:4" ht="12.75" customHeight="1" x14ac:dyDescent="0.15">
      <c r="C323" s="3"/>
      <c r="D323" s="3"/>
    </row>
    <row r="324" spans="3:4" ht="12.75" customHeight="1" x14ac:dyDescent="0.15">
      <c r="C324" s="3"/>
      <c r="D324" s="3"/>
    </row>
    <row r="325" spans="3:4" ht="12.75" customHeight="1" x14ac:dyDescent="0.15">
      <c r="C325" s="3"/>
      <c r="D325" s="3"/>
    </row>
    <row r="326" spans="3:4" ht="12.75" customHeight="1" x14ac:dyDescent="0.15">
      <c r="C326" s="3"/>
      <c r="D326" s="3"/>
    </row>
    <row r="327" spans="3:4" ht="12.75" customHeight="1" x14ac:dyDescent="0.15">
      <c r="C327" s="3"/>
      <c r="D327" s="3"/>
    </row>
    <row r="328" spans="3:4" ht="12.75" customHeight="1" x14ac:dyDescent="0.15">
      <c r="C328" s="3"/>
      <c r="D328" s="3"/>
    </row>
    <row r="329" spans="3:4" ht="12.75" customHeight="1" x14ac:dyDescent="0.15">
      <c r="C329" s="3"/>
      <c r="D329" s="3"/>
    </row>
    <row r="330" spans="3:4" ht="12.75" customHeight="1" x14ac:dyDescent="0.15">
      <c r="C330" s="3"/>
      <c r="D330" s="3"/>
    </row>
    <row r="331" spans="3:4" ht="12.75" customHeight="1" x14ac:dyDescent="0.15">
      <c r="C331" s="3"/>
      <c r="D331" s="3"/>
    </row>
    <row r="332" spans="3:4" ht="12.75" customHeight="1" x14ac:dyDescent="0.15">
      <c r="C332" s="3"/>
      <c r="D332" s="3"/>
    </row>
    <row r="333" spans="3:4" ht="12.75" customHeight="1" x14ac:dyDescent="0.15">
      <c r="C333" s="3"/>
      <c r="D333" s="3"/>
    </row>
    <row r="334" spans="3:4" ht="12.75" customHeight="1" x14ac:dyDescent="0.15">
      <c r="C334" s="3"/>
      <c r="D334" s="3"/>
    </row>
    <row r="335" spans="3:4" ht="12.75" customHeight="1" x14ac:dyDescent="0.15">
      <c r="C335" s="3"/>
      <c r="D335" s="3"/>
    </row>
    <row r="336" spans="3:4" ht="12.75" customHeight="1" x14ac:dyDescent="0.15">
      <c r="C336" s="3"/>
      <c r="D336" s="3"/>
    </row>
    <row r="337" spans="3:4" ht="12.75" customHeight="1" x14ac:dyDescent="0.15">
      <c r="C337" s="3"/>
      <c r="D337" s="3"/>
    </row>
    <row r="338" spans="3:4" ht="12.75" customHeight="1" x14ac:dyDescent="0.15">
      <c r="C338" s="3"/>
      <c r="D338" s="3"/>
    </row>
    <row r="339" spans="3:4" ht="12.75" customHeight="1" x14ac:dyDescent="0.15">
      <c r="C339" s="3"/>
      <c r="D339" s="3"/>
    </row>
    <row r="340" spans="3:4" ht="12.75" customHeight="1" x14ac:dyDescent="0.15">
      <c r="C340" s="3"/>
      <c r="D340" s="3"/>
    </row>
    <row r="341" spans="3:4" ht="12.75" customHeight="1" x14ac:dyDescent="0.15">
      <c r="C341" s="3"/>
      <c r="D341" s="3"/>
    </row>
    <row r="342" spans="3:4" ht="12.75" customHeight="1" x14ac:dyDescent="0.15">
      <c r="C342" s="3"/>
      <c r="D342" s="3"/>
    </row>
    <row r="343" spans="3:4" ht="12.75" customHeight="1" x14ac:dyDescent="0.15">
      <c r="C343" s="3"/>
      <c r="D343" s="3"/>
    </row>
    <row r="344" spans="3:4" ht="12.75" customHeight="1" x14ac:dyDescent="0.15">
      <c r="C344" s="3"/>
      <c r="D344" s="3"/>
    </row>
    <row r="345" spans="3:4" ht="12.75" customHeight="1" x14ac:dyDescent="0.15">
      <c r="C345" s="3"/>
      <c r="D345" s="3"/>
    </row>
    <row r="346" spans="3:4" ht="12.75" customHeight="1" x14ac:dyDescent="0.15">
      <c r="C346" s="3"/>
      <c r="D346" s="3"/>
    </row>
    <row r="347" spans="3:4" ht="12.75" customHeight="1" x14ac:dyDescent="0.15">
      <c r="C347" s="3"/>
      <c r="D347" s="3"/>
    </row>
    <row r="348" spans="3:4" ht="12.75" customHeight="1" x14ac:dyDescent="0.15">
      <c r="C348" s="3"/>
      <c r="D348" s="3"/>
    </row>
    <row r="349" spans="3:4" ht="12.75" customHeight="1" x14ac:dyDescent="0.15">
      <c r="C349" s="3"/>
      <c r="D349" s="3"/>
    </row>
    <row r="350" spans="3:4" ht="12.75" customHeight="1" x14ac:dyDescent="0.15">
      <c r="C350" s="3"/>
      <c r="D350" s="3"/>
    </row>
    <row r="351" spans="3:4" ht="12.75" customHeight="1" x14ac:dyDescent="0.15">
      <c r="C351" s="3"/>
      <c r="D351" s="3"/>
    </row>
    <row r="352" spans="3:4" ht="12.75" customHeight="1" x14ac:dyDescent="0.15">
      <c r="C352" s="3"/>
      <c r="D352" s="3"/>
    </row>
    <row r="353" spans="3:4" ht="12.75" customHeight="1" x14ac:dyDescent="0.15">
      <c r="C353" s="3"/>
      <c r="D353" s="3"/>
    </row>
    <row r="354" spans="3:4" ht="12.75" customHeight="1" x14ac:dyDescent="0.15">
      <c r="C354" s="3"/>
      <c r="D354" s="3"/>
    </row>
    <row r="355" spans="3:4" ht="12.75" customHeight="1" x14ac:dyDescent="0.15">
      <c r="C355" s="3"/>
      <c r="D355" s="3"/>
    </row>
    <row r="356" spans="3:4" ht="12.75" customHeight="1" x14ac:dyDescent="0.15">
      <c r="C356" s="3"/>
      <c r="D356" s="3"/>
    </row>
    <row r="357" spans="3:4" ht="12.75" customHeight="1" x14ac:dyDescent="0.15">
      <c r="C357" s="3"/>
      <c r="D357" s="3"/>
    </row>
    <row r="358" spans="3:4" ht="12.75" customHeight="1" x14ac:dyDescent="0.15">
      <c r="C358" s="3"/>
      <c r="D358" s="3"/>
    </row>
    <row r="359" spans="3:4" ht="12.75" customHeight="1" x14ac:dyDescent="0.15">
      <c r="C359" s="3"/>
      <c r="D359" s="3"/>
    </row>
    <row r="360" spans="3:4" ht="12.75" customHeight="1" x14ac:dyDescent="0.15">
      <c r="C360" s="3"/>
      <c r="D360" s="3"/>
    </row>
    <row r="361" spans="3:4" ht="12.75" customHeight="1" x14ac:dyDescent="0.15">
      <c r="C361" s="3"/>
      <c r="D361" s="3"/>
    </row>
    <row r="362" spans="3:4" ht="12.75" customHeight="1" x14ac:dyDescent="0.15">
      <c r="C362" s="3"/>
      <c r="D362" s="3"/>
    </row>
    <row r="363" spans="3:4" ht="12.75" customHeight="1" x14ac:dyDescent="0.15">
      <c r="C363" s="3"/>
      <c r="D363" s="3"/>
    </row>
    <row r="364" spans="3:4" ht="12.75" customHeight="1" x14ac:dyDescent="0.15">
      <c r="C364" s="3"/>
      <c r="D364" s="3"/>
    </row>
    <row r="365" spans="3:4" ht="12.75" customHeight="1" x14ac:dyDescent="0.15">
      <c r="C365" s="3"/>
      <c r="D365" s="3"/>
    </row>
    <row r="366" spans="3:4" ht="12.75" customHeight="1" x14ac:dyDescent="0.15">
      <c r="C366" s="3"/>
      <c r="D366" s="3"/>
    </row>
    <row r="367" spans="3:4" ht="12.75" customHeight="1" x14ac:dyDescent="0.15">
      <c r="C367" s="3"/>
      <c r="D367" s="3"/>
    </row>
    <row r="368" spans="3:4" ht="12.75" customHeight="1" x14ac:dyDescent="0.15">
      <c r="C368" s="3"/>
      <c r="D368" s="3"/>
    </row>
    <row r="369" spans="3:4" ht="12.75" customHeight="1" x14ac:dyDescent="0.15">
      <c r="C369" s="3"/>
      <c r="D369" s="3"/>
    </row>
    <row r="370" spans="3:4" ht="12.75" customHeight="1" x14ac:dyDescent="0.15">
      <c r="C370" s="3"/>
      <c r="D370" s="3"/>
    </row>
    <row r="371" spans="3:4" ht="12.75" customHeight="1" x14ac:dyDescent="0.15">
      <c r="C371" s="3"/>
      <c r="D371" s="3"/>
    </row>
    <row r="372" spans="3:4" ht="12.75" customHeight="1" x14ac:dyDescent="0.15">
      <c r="C372" s="3"/>
      <c r="D372" s="3"/>
    </row>
    <row r="373" spans="3:4" ht="12.75" customHeight="1" x14ac:dyDescent="0.15">
      <c r="C373" s="3"/>
      <c r="D373" s="3"/>
    </row>
    <row r="374" spans="3:4" ht="12.75" customHeight="1" x14ac:dyDescent="0.15">
      <c r="C374" s="3"/>
      <c r="D374" s="3"/>
    </row>
    <row r="375" spans="3:4" ht="12.75" customHeight="1" x14ac:dyDescent="0.15">
      <c r="C375" s="3"/>
      <c r="D375" s="3"/>
    </row>
    <row r="376" spans="3:4" ht="12.75" customHeight="1" x14ac:dyDescent="0.15">
      <c r="C376" s="3"/>
      <c r="D376" s="3"/>
    </row>
    <row r="377" spans="3:4" ht="12.75" customHeight="1" x14ac:dyDescent="0.15">
      <c r="C377" s="3"/>
      <c r="D377" s="3"/>
    </row>
    <row r="378" spans="3:4" ht="12.75" customHeight="1" x14ac:dyDescent="0.15">
      <c r="C378" s="3"/>
      <c r="D378" s="3"/>
    </row>
    <row r="379" spans="3:4" ht="12.75" customHeight="1" x14ac:dyDescent="0.15">
      <c r="C379" s="3"/>
      <c r="D379" s="3"/>
    </row>
    <row r="380" spans="3:4" ht="12.75" customHeight="1" x14ac:dyDescent="0.15">
      <c r="C380" s="3"/>
      <c r="D380" s="3"/>
    </row>
    <row r="381" spans="3:4" ht="12.75" customHeight="1" x14ac:dyDescent="0.15">
      <c r="C381" s="3"/>
      <c r="D381" s="3"/>
    </row>
    <row r="382" spans="3:4" ht="12.75" customHeight="1" x14ac:dyDescent="0.15">
      <c r="C382" s="3"/>
      <c r="D382" s="3"/>
    </row>
    <row r="383" spans="3:4" ht="12.75" customHeight="1" x14ac:dyDescent="0.15">
      <c r="C383" s="3"/>
      <c r="D383" s="3"/>
    </row>
    <row r="384" spans="3:4" ht="12.75" customHeight="1" x14ac:dyDescent="0.15">
      <c r="C384" s="3"/>
      <c r="D384" s="3"/>
    </row>
    <row r="385" spans="3:4" ht="12.75" customHeight="1" x14ac:dyDescent="0.15">
      <c r="C385" s="3"/>
      <c r="D385" s="3"/>
    </row>
    <row r="386" spans="3:4" ht="12.75" customHeight="1" x14ac:dyDescent="0.15">
      <c r="C386" s="3"/>
      <c r="D386" s="3"/>
    </row>
    <row r="387" spans="3:4" ht="12.75" customHeight="1" x14ac:dyDescent="0.15">
      <c r="C387" s="3"/>
      <c r="D387" s="3"/>
    </row>
    <row r="388" spans="3:4" ht="12.75" customHeight="1" x14ac:dyDescent="0.15">
      <c r="C388" s="3"/>
      <c r="D388" s="3"/>
    </row>
    <row r="389" spans="3:4" ht="12.75" customHeight="1" x14ac:dyDescent="0.15">
      <c r="C389" s="3"/>
      <c r="D389" s="3"/>
    </row>
    <row r="390" spans="3:4" ht="12.75" customHeight="1" x14ac:dyDescent="0.15">
      <c r="C390" s="3"/>
      <c r="D390" s="3"/>
    </row>
    <row r="391" spans="3:4" ht="12.75" customHeight="1" x14ac:dyDescent="0.15">
      <c r="C391" s="3"/>
      <c r="D391" s="3"/>
    </row>
    <row r="392" spans="3:4" ht="12.75" customHeight="1" x14ac:dyDescent="0.15">
      <c r="C392" s="3"/>
      <c r="D392" s="3"/>
    </row>
    <row r="393" spans="3:4" ht="12.75" customHeight="1" x14ac:dyDescent="0.15">
      <c r="C393" s="3"/>
      <c r="D393" s="3"/>
    </row>
    <row r="394" spans="3:4" ht="12.75" customHeight="1" x14ac:dyDescent="0.15">
      <c r="C394" s="3"/>
      <c r="D394" s="3"/>
    </row>
    <row r="395" spans="3:4" ht="12.75" customHeight="1" x14ac:dyDescent="0.15">
      <c r="C395" s="3"/>
      <c r="D395" s="3"/>
    </row>
    <row r="396" spans="3:4" ht="12.75" customHeight="1" x14ac:dyDescent="0.15">
      <c r="C396" s="3"/>
      <c r="D396" s="3"/>
    </row>
    <row r="397" spans="3:4" ht="12.75" customHeight="1" x14ac:dyDescent="0.15">
      <c r="C397" s="3"/>
      <c r="D397" s="3"/>
    </row>
    <row r="398" spans="3:4" ht="12.75" customHeight="1" x14ac:dyDescent="0.15">
      <c r="C398" s="3"/>
      <c r="D398" s="3"/>
    </row>
    <row r="399" spans="3:4" ht="12.75" customHeight="1" x14ac:dyDescent="0.15">
      <c r="C399" s="3"/>
      <c r="D399" s="3"/>
    </row>
    <row r="400" spans="3:4" ht="12.75" customHeight="1" x14ac:dyDescent="0.15">
      <c r="C400" s="3"/>
      <c r="D400" s="3"/>
    </row>
    <row r="401" spans="3:4" ht="12.75" customHeight="1" x14ac:dyDescent="0.15">
      <c r="C401" s="3"/>
      <c r="D401" s="3"/>
    </row>
    <row r="402" spans="3:4" ht="12.75" customHeight="1" x14ac:dyDescent="0.15">
      <c r="C402" s="3"/>
      <c r="D402" s="3"/>
    </row>
    <row r="403" spans="3:4" ht="12.75" customHeight="1" x14ac:dyDescent="0.15">
      <c r="C403" s="3"/>
      <c r="D403" s="3"/>
    </row>
    <row r="404" spans="3:4" ht="12.75" customHeight="1" x14ac:dyDescent="0.15">
      <c r="C404" s="3"/>
      <c r="D404" s="3"/>
    </row>
    <row r="405" spans="3:4" ht="12.75" customHeight="1" x14ac:dyDescent="0.15">
      <c r="C405" s="3"/>
      <c r="D405" s="3"/>
    </row>
    <row r="406" spans="3:4" ht="12.75" customHeight="1" x14ac:dyDescent="0.15">
      <c r="C406" s="3"/>
      <c r="D406" s="3"/>
    </row>
    <row r="407" spans="3:4" ht="12.75" customHeight="1" x14ac:dyDescent="0.15">
      <c r="C407" s="3"/>
      <c r="D407" s="3"/>
    </row>
    <row r="408" spans="3:4" ht="12.75" customHeight="1" x14ac:dyDescent="0.15">
      <c r="C408" s="3"/>
      <c r="D408" s="3"/>
    </row>
    <row r="409" spans="3:4" ht="12.75" customHeight="1" x14ac:dyDescent="0.15">
      <c r="C409" s="3"/>
      <c r="D409" s="3"/>
    </row>
    <row r="410" spans="3:4" ht="12.75" customHeight="1" x14ac:dyDescent="0.15">
      <c r="C410" s="3"/>
      <c r="D410" s="3"/>
    </row>
    <row r="411" spans="3:4" ht="12.75" customHeight="1" x14ac:dyDescent="0.15">
      <c r="C411" s="3"/>
      <c r="D411" s="3"/>
    </row>
    <row r="412" spans="3:4" ht="12.75" customHeight="1" x14ac:dyDescent="0.15">
      <c r="C412" s="3"/>
      <c r="D412" s="3"/>
    </row>
    <row r="413" spans="3:4" ht="12.75" customHeight="1" x14ac:dyDescent="0.15">
      <c r="C413" s="3"/>
      <c r="D413" s="3"/>
    </row>
    <row r="414" spans="3:4" ht="12.75" customHeight="1" x14ac:dyDescent="0.15">
      <c r="C414" s="3"/>
      <c r="D414" s="3"/>
    </row>
    <row r="415" spans="3:4" ht="12.75" customHeight="1" x14ac:dyDescent="0.15">
      <c r="C415" s="3"/>
      <c r="D415" s="3"/>
    </row>
    <row r="416" spans="3:4" ht="12.75" customHeight="1" x14ac:dyDescent="0.15">
      <c r="C416" s="3"/>
      <c r="D416" s="3"/>
    </row>
    <row r="417" spans="3:4" ht="12.75" customHeight="1" x14ac:dyDescent="0.15">
      <c r="C417" s="3"/>
      <c r="D417" s="3"/>
    </row>
    <row r="418" spans="3:4" ht="12.75" customHeight="1" x14ac:dyDescent="0.15">
      <c r="C418" s="3"/>
      <c r="D418" s="3"/>
    </row>
    <row r="419" spans="3:4" ht="12.75" customHeight="1" x14ac:dyDescent="0.15">
      <c r="C419" s="3"/>
      <c r="D419" s="3"/>
    </row>
    <row r="420" spans="3:4" ht="12.75" customHeight="1" x14ac:dyDescent="0.15">
      <c r="C420" s="3"/>
      <c r="D420" s="3"/>
    </row>
    <row r="421" spans="3:4" ht="12.75" customHeight="1" x14ac:dyDescent="0.15">
      <c r="C421" s="3"/>
      <c r="D421" s="3"/>
    </row>
    <row r="422" spans="3:4" ht="12.75" customHeight="1" x14ac:dyDescent="0.15">
      <c r="C422" s="3"/>
      <c r="D422" s="3"/>
    </row>
    <row r="423" spans="3:4" ht="12.75" customHeight="1" x14ac:dyDescent="0.15">
      <c r="C423" s="3"/>
      <c r="D423" s="3"/>
    </row>
    <row r="424" spans="3:4" ht="12.75" customHeight="1" x14ac:dyDescent="0.15">
      <c r="C424" s="3"/>
      <c r="D424" s="3"/>
    </row>
    <row r="425" spans="3:4" ht="12.75" customHeight="1" x14ac:dyDescent="0.15">
      <c r="C425" s="3"/>
      <c r="D425" s="3"/>
    </row>
    <row r="426" spans="3:4" ht="12.75" customHeight="1" x14ac:dyDescent="0.15">
      <c r="C426" s="3"/>
      <c r="D426" s="3"/>
    </row>
    <row r="427" spans="3:4" ht="12.75" customHeight="1" x14ac:dyDescent="0.15">
      <c r="C427" s="3"/>
      <c r="D427" s="3"/>
    </row>
    <row r="428" spans="3:4" ht="12.75" customHeight="1" x14ac:dyDescent="0.15">
      <c r="C428" s="3"/>
      <c r="D428" s="3"/>
    </row>
    <row r="429" spans="3:4" ht="12.75" customHeight="1" x14ac:dyDescent="0.15">
      <c r="C429" s="3"/>
      <c r="D429" s="3"/>
    </row>
    <row r="430" spans="3:4" ht="12.75" customHeight="1" x14ac:dyDescent="0.15">
      <c r="C430" s="3"/>
      <c r="D430" s="3"/>
    </row>
    <row r="431" spans="3:4" ht="12.75" customHeight="1" x14ac:dyDescent="0.15">
      <c r="C431" s="3"/>
      <c r="D431" s="3"/>
    </row>
    <row r="432" spans="3:4" ht="12.75" customHeight="1" x14ac:dyDescent="0.15">
      <c r="C432" s="3"/>
      <c r="D432" s="3"/>
    </row>
    <row r="433" spans="3:4" ht="12.75" customHeight="1" x14ac:dyDescent="0.15">
      <c r="C433" s="3"/>
      <c r="D433" s="3"/>
    </row>
    <row r="434" spans="3:4" ht="12.75" customHeight="1" x14ac:dyDescent="0.15">
      <c r="C434" s="3"/>
      <c r="D434" s="3"/>
    </row>
    <row r="435" spans="3:4" ht="12.75" customHeight="1" x14ac:dyDescent="0.15">
      <c r="C435" s="3"/>
      <c r="D435" s="3"/>
    </row>
    <row r="436" spans="3:4" ht="12.75" customHeight="1" x14ac:dyDescent="0.15">
      <c r="C436" s="3"/>
      <c r="D436" s="3"/>
    </row>
    <row r="437" spans="3:4" ht="12.75" customHeight="1" x14ac:dyDescent="0.15">
      <c r="C437" s="3"/>
      <c r="D437" s="3"/>
    </row>
    <row r="438" spans="3:4" ht="12.75" customHeight="1" x14ac:dyDescent="0.15">
      <c r="C438" s="3"/>
      <c r="D438" s="3"/>
    </row>
    <row r="439" spans="3:4" ht="12.75" customHeight="1" x14ac:dyDescent="0.15">
      <c r="C439" s="3"/>
      <c r="D439" s="3"/>
    </row>
    <row r="440" spans="3:4" ht="12.75" customHeight="1" x14ac:dyDescent="0.15">
      <c r="C440" s="3"/>
      <c r="D440" s="3"/>
    </row>
    <row r="441" spans="3:4" ht="12.75" customHeight="1" x14ac:dyDescent="0.15">
      <c r="C441" s="3"/>
      <c r="D441" s="3"/>
    </row>
    <row r="442" spans="3:4" ht="12.75" customHeight="1" x14ac:dyDescent="0.15">
      <c r="C442" s="3"/>
      <c r="D442" s="3"/>
    </row>
    <row r="443" spans="3:4" ht="12.75" customHeight="1" x14ac:dyDescent="0.15">
      <c r="C443" s="3"/>
      <c r="D443" s="3"/>
    </row>
    <row r="444" spans="3:4" ht="12.75" customHeight="1" x14ac:dyDescent="0.15">
      <c r="C444" s="3"/>
      <c r="D444" s="3"/>
    </row>
    <row r="445" spans="3:4" ht="12.75" customHeight="1" x14ac:dyDescent="0.15">
      <c r="C445" s="3"/>
      <c r="D445" s="3"/>
    </row>
    <row r="446" spans="3:4" ht="12.75" customHeight="1" x14ac:dyDescent="0.15">
      <c r="C446" s="3"/>
      <c r="D446" s="3"/>
    </row>
    <row r="447" spans="3:4" ht="12.75" customHeight="1" x14ac:dyDescent="0.15">
      <c r="C447" s="3"/>
      <c r="D447" s="3"/>
    </row>
    <row r="448" spans="3:4" ht="12.75" customHeight="1" x14ac:dyDescent="0.15">
      <c r="C448" s="3"/>
      <c r="D448" s="3"/>
    </row>
    <row r="449" spans="3:4" ht="12.75" customHeight="1" x14ac:dyDescent="0.15">
      <c r="C449" s="3"/>
      <c r="D449" s="3"/>
    </row>
    <row r="450" spans="3:4" ht="12.75" customHeight="1" x14ac:dyDescent="0.15">
      <c r="C450" s="3"/>
      <c r="D450" s="3"/>
    </row>
    <row r="451" spans="3:4" ht="12.75" customHeight="1" x14ac:dyDescent="0.15">
      <c r="C451" s="3"/>
      <c r="D451" s="3"/>
    </row>
    <row r="452" spans="3:4" ht="12.75" customHeight="1" x14ac:dyDescent="0.15">
      <c r="C452" s="3"/>
      <c r="D452" s="3"/>
    </row>
    <row r="453" spans="3:4" ht="12.75" customHeight="1" x14ac:dyDescent="0.15">
      <c r="C453" s="3"/>
      <c r="D453" s="3"/>
    </row>
    <row r="454" spans="3:4" ht="12.75" customHeight="1" x14ac:dyDescent="0.15">
      <c r="C454" s="3"/>
      <c r="D454" s="3"/>
    </row>
    <row r="455" spans="3:4" ht="12.75" customHeight="1" x14ac:dyDescent="0.15">
      <c r="C455" s="3"/>
      <c r="D455" s="3"/>
    </row>
    <row r="456" spans="3:4" ht="12.75" customHeight="1" x14ac:dyDescent="0.15">
      <c r="C456" s="3"/>
      <c r="D456" s="3"/>
    </row>
    <row r="457" spans="3:4" ht="12.75" customHeight="1" x14ac:dyDescent="0.15">
      <c r="C457" s="3"/>
      <c r="D457" s="3"/>
    </row>
    <row r="458" spans="3:4" ht="12.75" customHeight="1" x14ac:dyDescent="0.15">
      <c r="C458" s="3"/>
      <c r="D458" s="3"/>
    </row>
    <row r="459" spans="3:4" ht="12.75" customHeight="1" x14ac:dyDescent="0.15">
      <c r="C459" s="3"/>
      <c r="D459" s="3"/>
    </row>
    <row r="460" spans="3:4" ht="12.75" customHeight="1" x14ac:dyDescent="0.15">
      <c r="C460" s="3"/>
      <c r="D460" s="3"/>
    </row>
    <row r="461" spans="3:4" ht="12.75" customHeight="1" x14ac:dyDescent="0.15">
      <c r="C461" s="3"/>
      <c r="D461" s="3"/>
    </row>
    <row r="462" spans="3:4" ht="12.75" customHeight="1" x14ac:dyDescent="0.15">
      <c r="C462" s="3"/>
      <c r="D462" s="3"/>
    </row>
    <row r="463" spans="3:4" ht="12.75" customHeight="1" x14ac:dyDescent="0.15">
      <c r="C463" s="3"/>
      <c r="D463" s="3"/>
    </row>
    <row r="464" spans="3:4" ht="12.75" customHeight="1" x14ac:dyDescent="0.15">
      <c r="C464" s="3"/>
      <c r="D464" s="3"/>
    </row>
    <row r="465" spans="3:4" ht="12.75" customHeight="1" x14ac:dyDescent="0.15">
      <c r="C465" s="3"/>
      <c r="D465" s="3"/>
    </row>
    <row r="466" spans="3:4" ht="12.75" customHeight="1" x14ac:dyDescent="0.15">
      <c r="C466" s="3"/>
      <c r="D466" s="3"/>
    </row>
    <row r="467" spans="3:4" ht="12.75" customHeight="1" x14ac:dyDescent="0.15">
      <c r="C467" s="3"/>
      <c r="D467" s="3"/>
    </row>
    <row r="468" spans="3:4" ht="12.75" customHeight="1" x14ac:dyDescent="0.15">
      <c r="C468" s="3"/>
      <c r="D468" s="3"/>
    </row>
    <row r="469" spans="3:4" ht="12.75" customHeight="1" x14ac:dyDescent="0.15">
      <c r="C469" s="3"/>
      <c r="D469" s="3"/>
    </row>
    <row r="470" spans="3:4" ht="12.75" customHeight="1" x14ac:dyDescent="0.15">
      <c r="C470" s="3"/>
      <c r="D470" s="3"/>
    </row>
    <row r="471" spans="3:4" ht="12.75" customHeight="1" x14ac:dyDescent="0.15">
      <c r="C471" s="3"/>
      <c r="D471" s="3"/>
    </row>
    <row r="472" spans="3:4" ht="12.75" customHeight="1" x14ac:dyDescent="0.15">
      <c r="C472" s="3"/>
      <c r="D472" s="3"/>
    </row>
    <row r="473" spans="3:4" ht="12.75" customHeight="1" x14ac:dyDescent="0.15">
      <c r="C473" s="3"/>
      <c r="D473" s="3"/>
    </row>
    <row r="474" spans="3:4" ht="12.75" customHeight="1" x14ac:dyDescent="0.15">
      <c r="C474" s="3"/>
      <c r="D474" s="3"/>
    </row>
    <row r="475" spans="3:4" ht="12.75" customHeight="1" x14ac:dyDescent="0.15">
      <c r="C475" s="3"/>
      <c r="D475" s="3"/>
    </row>
    <row r="476" spans="3:4" ht="12.75" customHeight="1" x14ac:dyDescent="0.15">
      <c r="C476" s="3"/>
      <c r="D476" s="3"/>
    </row>
    <row r="477" spans="3:4" ht="12.75" customHeight="1" x14ac:dyDescent="0.15">
      <c r="C477" s="3"/>
      <c r="D477" s="3"/>
    </row>
    <row r="478" spans="3:4" ht="12.75" customHeight="1" x14ac:dyDescent="0.15">
      <c r="C478" s="3"/>
      <c r="D478" s="3"/>
    </row>
    <row r="479" spans="3:4" ht="12.75" customHeight="1" x14ac:dyDescent="0.15">
      <c r="C479" s="3"/>
      <c r="D479" s="3"/>
    </row>
    <row r="480" spans="3:4" ht="12.75" customHeight="1" x14ac:dyDescent="0.15">
      <c r="C480" s="3"/>
      <c r="D480" s="3"/>
    </row>
    <row r="481" spans="3:4" ht="12.75" customHeight="1" x14ac:dyDescent="0.15">
      <c r="C481" s="3"/>
      <c r="D481" s="3"/>
    </row>
    <row r="482" spans="3:4" ht="12.75" customHeight="1" x14ac:dyDescent="0.15">
      <c r="C482" s="3"/>
      <c r="D482" s="3"/>
    </row>
    <row r="483" spans="3:4" ht="12.75" customHeight="1" x14ac:dyDescent="0.15">
      <c r="C483" s="3"/>
      <c r="D483" s="3"/>
    </row>
    <row r="484" spans="3:4" ht="12.75" customHeight="1" x14ac:dyDescent="0.15">
      <c r="C484" s="3"/>
      <c r="D484" s="3"/>
    </row>
    <row r="485" spans="3:4" ht="12.75" customHeight="1" x14ac:dyDescent="0.15">
      <c r="C485" s="3"/>
      <c r="D485" s="3"/>
    </row>
    <row r="486" spans="3:4" ht="12.75" customHeight="1" x14ac:dyDescent="0.15">
      <c r="C486" s="3"/>
      <c r="D486" s="3"/>
    </row>
    <row r="487" spans="3:4" ht="12.75" customHeight="1" x14ac:dyDescent="0.15">
      <c r="C487" s="3"/>
      <c r="D487" s="3"/>
    </row>
    <row r="488" spans="3:4" ht="12.75" customHeight="1" x14ac:dyDescent="0.15">
      <c r="C488" s="3"/>
      <c r="D488" s="3"/>
    </row>
    <row r="489" spans="3:4" ht="12.75" customHeight="1" x14ac:dyDescent="0.15">
      <c r="C489" s="3"/>
      <c r="D489" s="3"/>
    </row>
    <row r="490" spans="3:4" ht="12.75" customHeight="1" x14ac:dyDescent="0.15">
      <c r="C490" s="3"/>
      <c r="D490" s="3"/>
    </row>
    <row r="491" spans="3:4" ht="12.75" customHeight="1" x14ac:dyDescent="0.15">
      <c r="C491" s="3"/>
      <c r="D491" s="3"/>
    </row>
    <row r="492" spans="3:4" ht="12.75" customHeight="1" x14ac:dyDescent="0.15">
      <c r="C492" s="3"/>
      <c r="D492" s="3"/>
    </row>
    <row r="493" spans="3:4" ht="12.75" customHeight="1" x14ac:dyDescent="0.15">
      <c r="C493" s="3"/>
      <c r="D493" s="3"/>
    </row>
    <row r="494" spans="3:4" ht="12.75" customHeight="1" x14ac:dyDescent="0.15">
      <c r="C494" s="3"/>
      <c r="D494" s="3"/>
    </row>
    <row r="495" spans="3:4" ht="12.75" customHeight="1" x14ac:dyDescent="0.15">
      <c r="C495" s="3"/>
      <c r="D495" s="3"/>
    </row>
    <row r="496" spans="3:4" ht="12.75" customHeight="1" x14ac:dyDescent="0.15">
      <c r="C496" s="3"/>
      <c r="D496" s="3"/>
    </row>
    <row r="497" spans="3:4" ht="12.75" customHeight="1" x14ac:dyDescent="0.15">
      <c r="C497" s="3"/>
      <c r="D497" s="3"/>
    </row>
    <row r="498" spans="3:4" ht="12.75" customHeight="1" x14ac:dyDescent="0.15">
      <c r="C498" s="3"/>
      <c r="D498" s="3"/>
    </row>
    <row r="499" spans="3:4" ht="12.75" customHeight="1" x14ac:dyDescent="0.15">
      <c r="C499" s="3"/>
      <c r="D499" s="3"/>
    </row>
    <row r="500" spans="3:4" ht="12.75" customHeight="1" x14ac:dyDescent="0.15">
      <c r="C500" s="3"/>
      <c r="D500" s="3"/>
    </row>
    <row r="501" spans="3:4" ht="12.75" customHeight="1" x14ac:dyDescent="0.15">
      <c r="C501" s="3"/>
      <c r="D501" s="3"/>
    </row>
    <row r="502" spans="3:4" ht="12.75" customHeight="1" x14ac:dyDescent="0.15">
      <c r="C502" s="3"/>
      <c r="D502" s="3"/>
    </row>
    <row r="503" spans="3:4" ht="12.75" customHeight="1" x14ac:dyDescent="0.15">
      <c r="C503" s="3"/>
      <c r="D503" s="3"/>
    </row>
    <row r="504" spans="3:4" ht="12.75" customHeight="1" x14ac:dyDescent="0.15">
      <c r="C504" s="3"/>
      <c r="D504" s="3"/>
    </row>
    <row r="505" spans="3:4" ht="12.75" customHeight="1" x14ac:dyDescent="0.15">
      <c r="C505" s="3"/>
      <c r="D505" s="3"/>
    </row>
    <row r="506" spans="3:4" ht="12.75" customHeight="1" x14ac:dyDescent="0.15">
      <c r="C506" s="3"/>
      <c r="D506" s="3"/>
    </row>
    <row r="507" spans="3:4" ht="12.75" customHeight="1" x14ac:dyDescent="0.15">
      <c r="C507" s="3"/>
      <c r="D507" s="3"/>
    </row>
    <row r="508" spans="3:4" ht="12.75" customHeight="1" x14ac:dyDescent="0.15">
      <c r="C508" s="3"/>
      <c r="D508" s="3"/>
    </row>
    <row r="509" spans="3:4" ht="12.75" customHeight="1" x14ac:dyDescent="0.15">
      <c r="C509" s="3"/>
      <c r="D509" s="3"/>
    </row>
    <row r="510" spans="3:4" ht="12.75" customHeight="1" x14ac:dyDescent="0.15">
      <c r="C510" s="3"/>
      <c r="D510" s="3"/>
    </row>
    <row r="511" spans="3:4" ht="12.75" customHeight="1" x14ac:dyDescent="0.15">
      <c r="C511" s="3"/>
      <c r="D511" s="3"/>
    </row>
    <row r="512" spans="3:4" ht="12.75" customHeight="1" x14ac:dyDescent="0.15">
      <c r="C512" s="3"/>
      <c r="D512" s="3"/>
    </row>
    <row r="513" spans="3:4" ht="12.75" customHeight="1" x14ac:dyDescent="0.15">
      <c r="C513" s="3"/>
      <c r="D513" s="3"/>
    </row>
    <row r="514" spans="3:4" ht="12.75" customHeight="1" x14ac:dyDescent="0.15">
      <c r="C514" s="3"/>
      <c r="D514" s="3"/>
    </row>
    <row r="515" spans="3:4" ht="12.75" customHeight="1" x14ac:dyDescent="0.15">
      <c r="C515" s="3"/>
      <c r="D515" s="3"/>
    </row>
    <row r="516" spans="3:4" ht="12.75" customHeight="1" x14ac:dyDescent="0.15">
      <c r="C516" s="3"/>
      <c r="D516" s="3"/>
    </row>
    <row r="517" spans="3:4" ht="12.75" customHeight="1" x14ac:dyDescent="0.15">
      <c r="C517" s="3"/>
      <c r="D517" s="3"/>
    </row>
    <row r="518" spans="3:4" ht="12.75" customHeight="1" x14ac:dyDescent="0.15">
      <c r="C518" s="3"/>
      <c r="D518" s="3"/>
    </row>
    <row r="519" spans="3:4" ht="12.75" customHeight="1" x14ac:dyDescent="0.15">
      <c r="C519" s="3"/>
      <c r="D519" s="3"/>
    </row>
    <row r="520" spans="3:4" ht="12.75" customHeight="1" x14ac:dyDescent="0.15">
      <c r="C520" s="3"/>
      <c r="D520" s="3"/>
    </row>
    <row r="521" spans="3:4" ht="12.75" customHeight="1" x14ac:dyDescent="0.15">
      <c r="C521" s="3"/>
      <c r="D521" s="3"/>
    </row>
    <row r="522" spans="3:4" ht="12.75" customHeight="1" x14ac:dyDescent="0.15">
      <c r="C522" s="3"/>
      <c r="D522" s="3"/>
    </row>
    <row r="523" spans="3:4" ht="12.75" customHeight="1" x14ac:dyDescent="0.15">
      <c r="C523" s="3"/>
      <c r="D523" s="3"/>
    </row>
    <row r="524" spans="3:4" ht="12.75" customHeight="1" x14ac:dyDescent="0.15">
      <c r="C524" s="3"/>
      <c r="D524" s="3"/>
    </row>
    <row r="525" spans="3:4" ht="12.75" customHeight="1" x14ac:dyDescent="0.15">
      <c r="C525" s="3"/>
      <c r="D525" s="3"/>
    </row>
    <row r="526" spans="3:4" ht="12.75" customHeight="1" x14ac:dyDescent="0.15">
      <c r="C526" s="3"/>
      <c r="D526" s="3"/>
    </row>
    <row r="527" spans="3:4" ht="12.75" customHeight="1" x14ac:dyDescent="0.15">
      <c r="C527" s="3"/>
      <c r="D527" s="3"/>
    </row>
    <row r="528" spans="3:4" ht="12.75" customHeight="1" x14ac:dyDescent="0.15">
      <c r="C528" s="3"/>
      <c r="D528" s="3"/>
    </row>
    <row r="529" spans="3:4" ht="12.75" customHeight="1" x14ac:dyDescent="0.15">
      <c r="C529" s="3"/>
      <c r="D529" s="3"/>
    </row>
    <row r="530" spans="3:4" ht="12.75" customHeight="1" x14ac:dyDescent="0.15">
      <c r="C530" s="3"/>
      <c r="D530" s="3"/>
    </row>
    <row r="531" spans="3:4" ht="12.75" customHeight="1" x14ac:dyDescent="0.15">
      <c r="C531" s="3"/>
      <c r="D531" s="3"/>
    </row>
    <row r="532" spans="3:4" ht="12.75" customHeight="1" x14ac:dyDescent="0.15">
      <c r="C532" s="3"/>
      <c r="D532" s="3"/>
    </row>
    <row r="533" spans="3:4" ht="12.75" customHeight="1" x14ac:dyDescent="0.15">
      <c r="C533" s="3"/>
      <c r="D533" s="3"/>
    </row>
    <row r="534" spans="3:4" ht="12.75" customHeight="1" x14ac:dyDescent="0.15">
      <c r="C534" s="3"/>
      <c r="D534" s="3"/>
    </row>
    <row r="535" spans="3:4" ht="12.75" customHeight="1" x14ac:dyDescent="0.15">
      <c r="C535" s="3"/>
      <c r="D535" s="3"/>
    </row>
    <row r="536" spans="3:4" ht="12.75" customHeight="1" x14ac:dyDescent="0.15">
      <c r="C536" s="3"/>
      <c r="D536" s="3"/>
    </row>
    <row r="537" spans="3:4" ht="12.75" customHeight="1" x14ac:dyDescent="0.15">
      <c r="C537" s="3"/>
      <c r="D537" s="3"/>
    </row>
    <row r="538" spans="3:4" ht="12.75" customHeight="1" x14ac:dyDescent="0.15">
      <c r="C538" s="3"/>
      <c r="D538" s="3"/>
    </row>
    <row r="539" spans="3:4" ht="12.75" customHeight="1" x14ac:dyDescent="0.15">
      <c r="C539" s="3"/>
      <c r="D539" s="3"/>
    </row>
    <row r="540" spans="3:4" ht="12.75" customHeight="1" x14ac:dyDescent="0.15">
      <c r="C540" s="3"/>
      <c r="D540" s="3"/>
    </row>
    <row r="541" spans="3:4" ht="12.75" customHeight="1" x14ac:dyDescent="0.15">
      <c r="C541" s="3"/>
      <c r="D541" s="3"/>
    </row>
    <row r="542" spans="3:4" ht="12.75" customHeight="1" x14ac:dyDescent="0.15">
      <c r="C542" s="3"/>
      <c r="D542" s="3"/>
    </row>
    <row r="543" spans="3:4" ht="12.75" customHeight="1" x14ac:dyDescent="0.15">
      <c r="C543" s="3"/>
      <c r="D543" s="3"/>
    </row>
    <row r="544" spans="3:4" ht="12.75" customHeight="1" x14ac:dyDescent="0.15">
      <c r="C544" s="3"/>
      <c r="D544" s="3"/>
    </row>
    <row r="545" spans="3:4" ht="12.75" customHeight="1" x14ac:dyDescent="0.15">
      <c r="C545" s="3"/>
      <c r="D545" s="3"/>
    </row>
    <row r="546" spans="3:4" ht="12.75" customHeight="1" x14ac:dyDescent="0.15">
      <c r="C546" s="3"/>
      <c r="D546" s="3"/>
    </row>
    <row r="547" spans="3:4" ht="12.75" customHeight="1" x14ac:dyDescent="0.15">
      <c r="C547" s="3"/>
      <c r="D547" s="3"/>
    </row>
    <row r="548" spans="3:4" ht="12.75" customHeight="1" x14ac:dyDescent="0.15">
      <c r="C548" s="3"/>
      <c r="D548" s="3"/>
    </row>
    <row r="549" spans="3:4" ht="12.75" customHeight="1" x14ac:dyDescent="0.15">
      <c r="C549" s="3"/>
      <c r="D549" s="3"/>
    </row>
    <row r="550" spans="3:4" ht="12.75" customHeight="1" x14ac:dyDescent="0.15">
      <c r="C550" s="3"/>
      <c r="D550" s="3"/>
    </row>
    <row r="551" spans="3:4" ht="12.75" customHeight="1" x14ac:dyDescent="0.15">
      <c r="C551" s="3"/>
      <c r="D551" s="3"/>
    </row>
    <row r="552" spans="3:4" ht="12.75" customHeight="1" x14ac:dyDescent="0.15">
      <c r="C552" s="3"/>
      <c r="D552" s="3"/>
    </row>
    <row r="553" spans="3:4" ht="12.75" customHeight="1" x14ac:dyDescent="0.15">
      <c r="C553" s="3"/>
      <c r="D553" s="3"/>
    </row>
    <row r="554" spans="3:4" ht="12.75" customHeight="1" x14ac:dyDescent="0.15">
      <c r="C554" s="3"/>
      <c r="D554" s="3"/>
    </row>
    <row r="555" spans="3:4" ht="12.75" customHeight="1" x14ac:dyDescent="0.15">
      <c r="C555" s="3"/>
      <c r="D555" s="3"/>
    </row>
    <row r="556" spans="3:4" ht="12.75" customHeight="1" x14ac:dyDescent="0.15">
      <c r="C556" s="3"/>
      <c r="D556" s="3"/>
    </row>
    <row r="557" spans="3:4" ht="12.75" customHeight="1" x14ac:dyDescent="0.15">
      <c r="C557" s="3"/>
      <c r="D557" s="3"/>
    </row>
    <row r="558" spans="3:4" ht="12.75" customHeight="1" x14ac:dyDescent="0.15">
      <c r="C558" s="3"/>
      <c r="D558" s="3"/>
    </row>
    <row r="559" spans="3:4" ht="12.75" customHeight="1" x14ac:dyDescent="0.15">
      <c r="C559" s="3"/>
      <c r="D559" s="3"/>
    </row>
    <row r="560" spans="3:4" ht="12.75" customHeight="1" x14ac:dyDescent="0.15">
      <c r="C560" s="3"/>
      <c r="D560" s="3"/>
    </row>
    <row r="561" spans="3:4" ht="12.75" customHeight="1" x14ac:dyDescent="0.15">
      <c r="C561" s="3"/>
      <c r="D561" s="3"/>
    </row>
    <row r="562" spans="3:4" ht="12.75" customHeight="1" x14ac:dyDescent="0.15">
      <c r="C562" s="3"/>
      <c r="D562" s="3"/>
    </row>
    <row r="563" spans="3:4" ht="12.75" customHeight="1" x14ac:dyDescent="0.15">
      <c r="C563" s="3"/>
      <c r="D563" s="3"/>
    </row>
    <row r="564" spans="3:4" ht="12.75" customHeight="1" x14ac:dyDescent="0.15">
      <c r="C564" s="3"/>
      <c r="D564" s="3"/>
    </row>
    <row r="565" spans="3:4" ht="12.75" customHeight="1" x14ac:dyDescent="0.15">
      <c r="C565" s="3"/>
      <c r="D565" s="3"/>
    </row>
    <row r="566" spans="3:4" ht="12.75" customHeight="1" x14ac:dyDescent="0.15">
      <c r="C566" s="3"/>
      <c r="D566" s="3"/>
    </row>
    <row r="567" spans="3:4" ht="12.75" customHeight="1" x14ac:dyDescent="0.15">
      <c r="C567" s="3"/>
      <c r="D567" s="3"/>
    </row>
    <row r="568" spans="3:4" ht="12.75" customHeight="1" x14ac:dyDescent="0.15">
      <c r="C568" s="3"/>
      <c r="D568" s="3"/>
    </row>
    <row r="569" spans="3:4" ht="12.75" customHeight="1" x14ac:dyDescent="0.15">
      <c r="C569" s="3"/>
      <c r="D569" s="3"/>
    </row>
    <row r="570" spans="3:4" ht="12.75" customHeight="1" x14ac:dyDescent="0.15">
      <c r="C570" s="3"/>
      <c r="D570" s="3"/>
    </row>
    <row r="571" spans="3:4" ht="12.75" customHeight="1" x14ac:dyDescent="0.15">
      <c r="C571" s="3"/>
      <c r="D571" s="3"/>
    </row>
    <row r="572" spans="3:4" ht="12.75" customHeight="1" x14ac:dyDescent="0.15">
      <c r="C572" s="3"/>
      <c r="D572" s="3"/>
    </row>
    <row r="573" spans="3:4" ht="12.75" customHeight="1" x14ac:dyDescent="0.15">
      <c r="C573" s="3"/>
      <c r="D573" s="3"/>
    </row>
    <row r="574" spans="3:4" ht="12.75" customHeight="1" x14ac:dyDescent="0.15">
      <c r="C574" s="3"/>
      <c r="D574" s="3"/>
    </row>
    <row r="575" spans="3:4" ht="12.75" customHeight="1" x14ac:dyDescent="0.15">
      <c r="C575" s="3"/>
      <c r="D575" s="3"/>
    </row>
    <row r="576" spans="3:4" ht="12.75" customHeight="1" x14ac:dyDescent="0.15">
      <c r="C576" s="3"/>
      <c r="D576" s="3"/>
    </row>
    <row r="577" spans="3:4" ht="12.75" customHeight="1" x14ac:dyDescent="0.15">
      <c r="C577" s="3"/>
      <c r="D577" s="3"/>
    </row>
    <row r="578" spans="3:4" ht="12.75" customHeight="1" x14ac:dyDescent="0.15">
      <c r="C578" s="3"/>
      <c r="D578" s="3"/>
    </row>
    <row r="579" spans="3:4" ht="12.75" customHeight="1" x14ac:dyDescent="0.15">
      <c r="C579" s="3"/>
      <c r="D579" s="3"/>
    </row>
    <row r="580" spans="3:4" ht="12.75" customHeight="1" x14ac:dyDescent="0.15">
      <c r="C580" s="3"/>
      <c r="D580" s="3"/>
    </row>
    <row r="581" spans="3:4" ht="12.75" customHeight="1" x14ac:dyDescent="0.15">
      <c r="C581" s="3"/>
      <c r="D581" s="3"/>
    </row>
    <row r="582" spans="3:4" ht="12.75" customHeight="1" x14ac:dyDescent="0.15">
      <c r="C582" s="3"/>
      <c r="D582" s="3"/>
    </row>
    <row r="583" spans="3:4" ht="12.75" customHeight="1" x14ac:dyDescent="0.15">
      <c r="C583" s="3"/>
      <c r="D583" s="3"/>
    </row>
    <row r="584" spans="3:4" ht="12.75" customHeight="1" x14ac:dyDescent="0.15">
      <c r="C584" s="3"/>
      <c r="D584" s="3"/>
    </row>
    <row r="585" spans="3:4" ht="12.75" customHeight="1" x14ac:dyDescent="0.15">
      <c r="C585" s="3"/>
      <c r="D585" s="3"/>
    </row>
    <row r="586" spans="3:4" ht="12.75" customHeight="1" x14ac:dyDescent="0.15">
      <c r="C586" s="3"/>
      <c r="D586" s="3"/>
    </row>
    <row r="587" spans="3:4" ht="12.75" customHeight="1" x14ac:dyDescent="0.15">
      <c r="C587" s="3"/>
      <c r="D587" s="3"/>
    </row>
    <row r="588" spans="3:4" ht="12.75" customHeight="1" x14ac:dyDescent="0.15">
      <c r="C588" s="3"/>
      <c r="D588" s="3"/>
    </row>
    <row r="589" spans="3:4" ht="12.75" customHeight="1" x14ac:dyDescent="0.15">
      <c r="C589" s="3"/>
      <c r="D589" s="3"/>
    </row>
    <row r="590" spans="3:4" ht="12.75" customHeight="1" x14ac:dyDescent="0.15">
      <c r="C590" s="3"/>
      <c r="D590" s="3"/>
    </row>
    <row r="591" spans="3:4" ht="12.75" customHeight="1" x14ac:dyDescent="0.15">
      <c r="C591" s="3"/>
      <c r="D591" s="3"/>
    </row>
    <row r="592" spans="3:4" ht="12.75" customHeight="1" x14ac:dyDescent="0.15">
      <c r="C592" s="3"/>
      <c r="D592" s="3"/>
    </row>
    <row r="593" spans="3:4" ht="12.75" customHeight="1" x14ac:dyDescent="0.15">
      <c r="C593" s="3"/>
      <c r="D593" s="3"/>
    </row>
    <row r="594" spans="3:4" ht="12.75" customHeight="1" x14ac:dyDescent="0.15">
      <c r="C594" s="3"/>
      <c r="D594" s="3"/>
    </row>
    <row r="595" spans="3:4" ht="12.75" customHeight="1" x14ac:dyDescent="0.15">
      <c r="C595" s="3"/>
      <c r="D595" s="3"/>
    </row>
    <row r="596" spans="3:4" ht="12.75" customHeight="1" x14ac:dyDescent="0.15">
      <c r="C596" s="3"/>
      <c r="D596" s="3"/>
    </row>
    <row r="597" spans="3:4" ht="12.75" customHeight="1" x14ac:dyDescent="0.15">
      <c r="C597" s="3"/>
      <c r="D597" s="3"/>
    </row>
    <row r="598" spans="3:4" ht="12.75" customHeight="1" x14ac:dyDescent="0.15">
      <c r="C598" s="3"/>
      <c r="D598" s="3"/>
    </row>
    <row r="599" spans="3:4" ht="12.75" customHeight="1" x14ac:dyDescent="0.15">
      <c r="C599" s="3"/>
      <c r="D599" s="3"/>
    </row>
    <row r="600" spans="3:4" ht="12.75" customHeight="1" x14ac:dyDescent="0.15">
      <c r="C600" s="3"/>
      <c r="D600" s="3"/>
    </row>
    <row r="601" spans="3:4" ht="12.75" customHeight="1" x14ac:dyDescent="0.15">
      <c r="C601" s="3"/>
      <c r="D601" s="3"/>
    </row>
    <row r="602" spans="3:4" ht="12.75" customHeight="1" x14ac:dyDescent="0.15">
      <c r="C602" s="3"/>
      <c r="D602" s="3"/>
    </row>
    <row r="603" spans="3:4" ht="12.75" customHeight="1" x14ac:dyDescent="0.15">
      <c r="C603" s="3"/>
      <c r="D603" s="3"/>
    </row>
    <row r="604" spans="3:4" ht="12.75" customHeight="1" x14ac:dyDescent="0.15">
      <c r="C604" s="3"/>
      <c r="D604" s="3"/>
    </row>
    <row r="605" spans="3:4" ht="12.75" customHeight="1" x14ac:dyDescent="0.15">
      <c r="C605" s="3"/>
      <c r="D605" s="3"/>
    </row>
    <row r="606" spans="3:4" ht="12.75" customHeight="1" x14ac:dyDescent="0.15">
      <c r="C606" s="3"/>
      <c r="D606" s="3"/>
    </row>
    <row r="607" spans="3:4" ht="12.75" customHeight="1" x14ac:dyDescent="0.15">
      <c r="C607" s="3"/>
      <c r="D607" s="3"/>
    </row>
    <row r="608" spans="3:4" ht="12.75" customHeight="1" x14ac:dyDescent="0.15">
      <c r="C608" s="3"/>
      <c r="D608" s="3"/>
    </row>
    <row r="609" spans="3:4" ht="12.75" customHeight="1" x14ac:dyDescent="0.15">
      <c r="C609" s="3"/>
      <c r="D609" s="3"/>
    </row>
    <row r="610" spans="3:4" ht="12.75" customHeight="1" x14ac:dyDescent="0.15">
      <c r="C610" s="3"/>
      <c r="D610" s="3"/>
    </row>
    <row r="611" spans="3:4" ht="12.75" customHeight="1" x14ac:dyDescent="0.15">
      <c r="C611" s="3"/>
      <c r="D611" s="3"/>
    </row>
    <row r="612" spans="3:4" ht="12.75" customHeight="1" x14ac:dyDescent="0.15">
      <c r="C612" s="3"/>
      <c r="D612" s="3"/>
    </row>
    <row r="613" spans="3:4" ht="12.75" customHeight="1" x14ac:dyDescent="0.15">
      <c r="C613" s="3"/>
      <c r="D613" s="3"/>
    </row>
    <row r="614" spans="3:4" ht="12.75" customHeight="1" x14ac:dyDescent="0.15">
      <c r="C614" s="3"/>
      <c r="D614" s="3"/>
    </row>
    <row r="615" spans="3:4" ht="12.75" customHeight="1" x14ac:dyDescent="0.15">
      <c r="C615" s="3"/>
      <c r="D615" s="3"/>
    </row>
    <row r="616" spans="3:4" ht="12.75" customHeight="1" x14ac:dyDescent="0.15">
      <c r="C616" s="3"/>
      <c r="D616" s="3"/>
    </row>
    <row r="617" spans="3:4" ht="12.75" customHeight="1" x14ac:dyDescent="0.15">
      <c r="C617" s="3"/>
      <c r="D617" s="3"/>
    </row>
    <row r="618" spans="3:4" ht="12.75" customHeight="1" x14ac:dyDescent="0.15">
      <c r="C618" s="3"/>
      <c r="D618" s="3"/>
    </row>
    <row r="619" spans="3:4" ht="12.75" customHeight="1" x14ac:dyDescent="0.15">
      <c r="C619" s="3"/>
      <c r="D619" s="3"/>
    </row>
    <row r="620" spans="3:4" ht="12.75" customHeight="1" x14ac:dyDescent="0.15">
      <c r="C620" s="3"/>
      <c r="D620" s="3"/>
    </row>
    <row r="621" spans="3:4" ht="12.75" customHeight="1" x14ac:dyDescent="0.15">
      <c r="C621" s="3"/>
      <c r="D621" s="3"/>
    </row>
    <row r="622" spans="3:4" ht="12.75" customHeight="1" x14ac:dyDescent="0.15">
      <c r="C622" s="3"/>
      <c r="D622" s="3"/>
    </row>
    <row r="623" spans="3:4" ht="12.75" customHeight="1" x14ac:dyDescent="0.15">
      <c r="C623" s="3"/>
      <c r="D623" s="3"/>
    </row>
    <row r="624" spans="3:4" ht="12.75" customHeight="1" x14ac:dyDescent="0.15">
      <c r="C624" s="3"/>
      <c r="D624" s="3"/>
    </row>
    <row r="625" spans="3:4" ht="12.75" customHeight="1" x14ac:dyDescent="0.15">
      <c r="C625" s="3"/>
      <c r="D625" s="3"/>
    </row>
    <row r="626" spans="3:4" ht="12.75" customHeight="1" x14ac:dyDescent="0.15">
      <c r="C626" s="3"/>
      <c r="D626" s="3"/>
    </row>
    <row r="627" spans="3:4" ht="12.75" customHeight="1" x14ac:dyDescent="0.15">
      <c r="C627" s="3"/>
      <c r="D627" s="3"/>
    </row>
    <row r="628" spans="3:4" ht="12.75" customHeight="1" x14ac:dyDescent="0.15">
      <c r="C628" s="3"/>
      <c r="D628" s="3"/>
    </row>
    <row r="629" spans="3:4" ht="12.75" customHeight="1" x14ac:dyDescent="0.15">
      <c r="C629" s="3"/>
      <c r="D629" s="3"/>
    </row>
    <row r="630" spans="3:4" ht="12.75" customHeight="1" x14ac:dyDescent="0.15">
      <c r="C630" s="3"/>
      <c r="D630" s="3"/>
    </row>
    <row r="631" spans="3:4" ht="12.75" customHeight="1" x14ac:dyDescent="0.15">
      <c r="C631" s="3"/>
      <c r="D631" s="3"/>
    </row>
    <row r="632" spans="3:4" ht="12.75" customHeight="1" x14ac:dyDescent="0.15">
      <c r="C632" s="3"/>
      <c r="D632" s="3"/>
    </row>
    <row r="633" spans="3:4" ht="12.75" customHeight="1" x14ac:dyDescent="0.15">
      <c r="C633" s="3"/>
      <c r="D633" s="3"/>
    </row>
    <row r="634" spans="3:4" ht="12.75" customHeight="1" x14ac:dyDescent="0.15">
      <c r="C634" s="3"/>
      <c r="D634" s="3"/>
    </row>
    <row r="635" spans="3:4" ht="12.75" customHeight="1" x14ac:dyDescent="0.15">
      <c r="C635" s="3"/>
      <c r="D635" s="3"/>
    </row>
    <row r="636" spans="3:4" ht="12.75" customHeight="1" x14ac:dyDescent="0.15">
      <c r="C636" s="3"/>
      <c r="D636" s="3"/>
    </row>
    <row r="637" spans="3:4" ht="12.75" customHeight="1" x14ac:dyDescent="0.15">
      <c r="C637" s="3"/>
      <c r="D637" s="3"/>
    </row>
    <row r="638" spans="3:4" ht="12.75" customHeight="1" x14ac:dyDescent="0.15">
      <c r="C638" s="3"/>
      <c r="D638" s="3"/>
    </row>
    <row r="639" spans="3:4" ht="12.75" customHeight="1" x14ac:dyDescent="0.15">
      <c r="C639" s="3"/>
      <c r="D639" s="3"/>
    </row>
    <row r="640" spans="3:4" ht="12.75" customHeight="1" x14ac:dyDescent="0.15">
      <c r="C640" s="3"/>
      <c r="D640" s="3"/>
    </row>
    <row r="641" spans="3:4" ht="12.75" customHeight="1" x14ac:dyDescent="0.15">
      <c r="C641" s="3"/>
      <c r="D641" s="3"/>
    </row>
    <row r="642" spans="3:4" ht="12.75" customHeight="1" x14ac:dyDescent="0.15">
      <c r="C642" s="3"/>
      <c r="D642" s="3"/>
    </row>
    <row r="643" spans="3:4" ht="12.75" customHeight="1" x14ac:dyDescent="0.15">
      <c r="C643" s="3"/>
      <c r="D643" s="3"/>
    </row>
    <row r="644" spans="3:4" ht="12.75" customHeight="1" x14ac:dyDescent="0.15">
      <c r="C644" s="3"/>
      <c r="D644" s="3"/>
    </row>
    <row r="645" spans="3:4" ht="12.75" customHeight="1" x14ac:dyDescent="0.15">
      <c r="C645" s="3"/>
      <c r="D645" s="3"/>
    </row>
    <row r="646" spans="3:4" ht="12.75" customHeight="1" x14ac:dyDescent="0.15">
      <c r="C646" s="3"/>
      <c r="D646" s="3"/>
    </row>
    <row r="647" spans="3:4" ht="12.75" customHeight="1" x14ac:dyDescent="0.15">
      <c r="C647" s="3"/>
      <c r="D647" s="3"/>
    </row>
    <row r="648" spans="3:4" ht="12.75" customHeight="1" x14ac:dyDescent="0.15">
      <c r="C648" s="3"/>
      <c r="D648" s="3"/>
    </row>
    <row r="649" spans="3:4" ht="12.75" customHeight="1" x14ac:dyDescent="0.15">
      <c r="C649" s="3"/>
      <c r="D649" s="3"/>
    </row>
    <row r="650" spans="3:4" ht="12.75" customHeight="1" x14ac:dyDescent="0.15">
      <c r="C650" s="3"/>
      <c r="D650" s="3"/>
    </row>
    <row r="651" spans="3:4" ht="12.75" customHeight="1" x14ac:dyDescent="0.15">
      <c r="C651" s="3"/>
      <c r="D651" s="3"/>
    </row>
    <row r="652" spans="3:4" ht="12.75" customHeight="1" x14ac:dyDescent="0.15">
      <c r="C652" s="3"/>
      <c r="D652" s="3"/>
    </row>
    <row r="653" spans="3:4" ht="12.75" customHeight="1" x14ac:dyDescent="0.15">
      <c r="C653" s="3"/>
      <c r="D653" s="3"/>
    </row>
    <row r="654" spans="3:4" ht="12.75" customHeight="1" x14ac:dyDescent="0.15">
      <c r="C654" s="3"/>
      <c r="D654" s="3"/>
    </row>
    <row r="655" spans="3:4" ht="12.75" customHeight="1" x14ac:dyDescent="0.15">
      <c r="C655" s="3"/>
      <c r="D655" s="3"/>
    </row>
    <row r="656" spans="3:4" ht="12.75" customHeight="1" x14ac:dyDescent="0.15">
      <c r="C656" s="3"/>
      <c r="D656" s="3"/>
    </row>
    <row r="657" spans="3:4" ht="12.75" customHeight="1" x14ac:dyDescent="0.15">
      <c r="C657" s="3"/>
      <c r="D657" s="3"/>
    </row>
    <row r="658" spans="3:4" ht="12.75" customHeight="1" x14ac:dyDescent="0.15">
      <c r="C658" s="3"/>
      <c r="D658" s="3"/>
    </row>
    <row r="659" spans="3:4" ht="12.75" customHeight="1" x14ac:dyDescent="0.15">
      <c r="C659" s="3"/>
      <c r="D659" s="3"/>
    </row>
    <row r="660" spans="3:4" ht="12.75" customHeight="1" x14ac:dyDescent="0.15">
      <c r="C660" s="3"/>
      <c r="D660" s="3"/>
    </row>
    <row r="661" spans="3:4" ht="12.75" customHeight="1" x14ac:dyDescent="0.15">
      <c r="C661" s="3"/>
      <c r="D661" s="3"/>
    </row>
    <row r="662" spans="3:4" ht="12.75" customHeight="1" x14ac:dyDescent="0.15">
      <c r="C662" s="3"/>
      <c r="D662" s="3"/>
    </row>
    <row r="663" spans="3:4" ht="12.75" customHeight="1" x14ac:dyDescent="0.15">
      <c r="C663" s="3"/>
      <c r="D663" s="3"/>
    </row>
    <row r="664" spans="3:4" ht="12.75" customHeight="1" x14ac:dyDescent="0.15">
      <c r="C664" s="3"/>
      <c r="D664" s="3"/>
    </row>
    <row r="665" spans="3:4" ht="12.75" customHeight="1" x14ac:dyDescent="0.15">
      <c r="C665" s="3"/>
      <c r="D665" s="3"/>
    </row>
    <row r="666" spans="3:4" ht="12.75" customHeight="1" x14ac:dyDescent="0.15">
      <c r="C666" s="3"/>
      <c r="D666" s="3"/>
    </row>
    <row r="667" spans="3:4" ht="12.75" customHeight="1" x14ac:dyDescent="0.15">
      <c r="C667" s="3"/>
      <c r="D667" s="3"/>
    </row>
    <row r="668" spans="3:4" ht="12.75" customHeight="1" x14ac:dyDescent="0.15">
      <c r="C668" s="3"/>
      <c r="D668" s="3"/>
    </row>
    <row r="669" spans="3:4" ht="12.75" customHeight="1" x14ac:dyDescent="0.15">
      <c r="C669" s="3"/>
      <c r="D669" s="3"/>
    </row>
    <row r="670" spans="3:4" ht="12.75" customHeight="1" x14ac:dyDescent="0.15">
      <c r="C670" s="3"/>
      <c r="D670" s="3"/>
    </row>
    <row r="671" spans="3:4" ht="12.75" customHeight="1" x14ac:dyDescent="0.15">
      <c r="C671" s="3"/>
      <c r="D671" s="3"/>
    </row>
    <row r="672" spans="3:4" ht="12.75" customHeight="1" x14ac:dyDescent="0.15">
      <c r="C672" s="3"/>
      <c r="D672" s="3"/>
    </row>
    <row r="673" spans="3:4" ht="12.75" customHeight="1" x14ac:dyDescent="0.15">
      <c r="C673" s="3"/>
      <c r="D673" s="3"/>
    </row>
    <row r="674" spans="3:4" ht="12.75" customHeight="1" x14ac:dyDescent="0.15">
      <c r="C674" s="3"/>
      <c r="D674" s="3"/>
    </row>
    <row r="675" spans="3:4" ht="12.75" customHeight="1" x14ac:dyDescent="0.15">
      <c r="C675" s="3"/>
      <c r="D675" s="3"/>
    </row>
    <row r="676" spans="3:4" ht="12.75" customHeight="1" x14ac:dyDescent="0.15">
      <c r="C676" s="3"/>
      <c r="D676" s="3"/>
    </row>
    <row r="677" spans="3:4" ht="12.75" customHeight="1" x14ac:dyDescent="0.15">
      <c r="C677" s="3"/>
      <c r="D677" s="3"/>
    </row>
    <row r="678" spans="3:4" ht="12.75" customHeight="1" x14ac:dyDescent="0.15">
      <c r="C678" s="3"/>
      <c r="D678" s="3"/>
    </row>
    <row r="679" spans="3:4" ht="12.75" customHeight="1" x14ac:dyDescent="0.15">
      <c r="C679" s="3"/>
      <c r="D679" s="3"/>
    </row>
    <row r="680" spans="3:4" ht="12.75" customHeight="1" x14ac:dyDescent="0.15">
      <c r="C680" s="3"/>
      <c r="D680" s="3"/>
    </row>
    <row r="681" spans="3:4" ht="12.75" customHeight="1" x14ac:dyDescent="0.15">
      <c r="C681" s="3"/>
      <c r="D681" s="3"/>
    </row>
    <row r="682" spans="3:4" ht="12.75" customHeight="1" x14ac:dyDescent="0.15">
      <c r="C682" s="3"/>
      <c r="D682" s="3"/>
    </row>
    <row r="683" spans="3:4" ht="12.75" customHeight="1" x14ac:dyDescent="0.15">
      <c r="C683" s="3"/>
      <c r="D683" s="3"/>
    </row>
    <row r="684" spans="3:4" ht="12.75" customHeight="1" x14ac:dyDescent="0.15">
      <c r="C684" s="3"/>
      <c r="D684" s="3"/>
    </row>
    <row r="685" spans="3:4" ht="12.75" customHeight="1" x14ac:dyDescent="0.15">
      <c r="C685" s="3"/>
      <c r="D685" s="3"/>
    </row>
    <row r="686" spans="3:4" ht="12.75" customHeight="1" x14ac:dyDescent="0.15">
      <c r="C686" s="3"/>
      <c r="D686" s="3"/>
    </row>
    <row r="687" spans="3:4" ht="12.75" customHeight="1" x14ac:dyDescent="0.15">
      <c r="C687" s="3"/>
      <c r="D687" s="3"/>
    </row>
    <row r="688" spans="3:4" ht="12.75" customHeight="1" x14ac:dyDescent="0.15">
      <c r="C688" s="3"/>
      <c r="D688" s="3"/>
    </row>
    <row r="689" spans="3:4" ht="12.75" customHeight="1" x14ac:dyDescent="0.15">
      <c r="C689" s="3"/>
      <c r="D689" s="3"/>
    </row>
    <row r="690" spans="3:4" ht="12.75" customHeight="1" x14ac:dyDescent="0.15">
      <c r="C690" s="3"/>
      <c r="D690" s="3"/>
    </row>
    <row r="691" spans="3:4" ht="12.75" customHeight="1" x14ac:dyDescent="0.15">
      <c r="C691" s="3"/>
      <c r="D691" s="3"/>
    </row>
    <row r="692" spans="3:4" ht="12.75" customHeight="1" x14ac:dyDescent="0.15">
      <c r="C692" s="3"/>
      <c r="D692" s="3"/>
    </row>
    <row r="693" spans="3:4" ht="12.75" customHeight="1" x14ac:dyDescent="0.15">
      <c r="C693" s="3"/>
      <c r="D693" s="3"/>
    </row>
    <row r="694" spans="3:4" ht="12.75" customHeight="1" x14ac:dyDescent="0.15">
      <c r="C694" s="3"/>
      <c r="D694" s="3"/>
    </row>
    <row r="695" spans="3:4" ht="12.75" customHeight="1" x14ac:dyDescent="0.15">
      <c r="C695" s="3"/>
      <c r="D695" s="3"/>
    </row>
    <row r="696" spans="3:4" ht="12.75" customHeight="1" x14ac:dyDescent="0.15">
      <c r="C696" s="3"/>
      <c r="D696" s="3"/>
    </row>
    <row r="697" spans="3:4" ht="12.75" customHeight="1" x14ac:dyDescent="0.15">
      <c r="C697" s="3"/>
      <c r="D697" s="3"/>
    </row>
    <row r="698" spans="3:4" ht="12.75" customHeight="1" x14ac:dyDescent="0.15">
      <c r="C698" s="3"/>
      <c r="D698" s="3"/>
    </row>
    <row r="699" spans="3:4" ht="12.75" customHeight="1" x14ac:dyDescent="0.15">
      <c r="C699" s="3"/>
      <c r="D699" s="3"/>
    </row>
    <row r="700" spans="3:4" ht="12.75" customHeight="1" x14ac:dyDescent="0.15">
      <c r="C700" s="3"/>
      <c r="D700" s="3"/>
    </row>
    <row r="701" spans="3:4" ht="12.75" customHeight="1" x14ac:dyDescent="0.15">
      <c r="C701" s="3"/>
      <c r="D701" s="3"/>
    </row>
    <row r="702" spans="3:4" ht="12.75" customHeight="1" x14ac:dyDescent="0.15">
      <c r="C702" s="3"/>
      <c r="D702" s="3"/>
    </row>
    <row r="703" spans="3:4" ht="12.75" customHeight="1" x14ac:dyDescent="0.15">
      <c r="C703" s="3"/>
      <c r="D703" s="3"/>
    </row>
    <row r="704" spans="3:4" ht="12.75" customHeight="1" x14ac:dyDescent="0.15">
      <c r="C704" s="3"/>
      <c r="D704" s="3"/>
    </row>
    <row r="705" spans="3:4" ht="12.75" customHeight="1" x14ac:dyDescent="0.15">
      <c r="C705" s="3"/>
      <c r="D705" s="3"/>
    </row>
    <row r="706" spans="3:4" ht="12.75" customHeight="1" x14ac:dyDescent="0.15">
      <c r="C706" s="3"/>
      <c r="D706" s="3"/>
    </row>
    <row r="707" spans="3:4" ht="12.75" customHeight="1" x14ac:dyDescent="0.15">
      <c r="C707" s="3"/>
      <c r="D707" s="3"/>
    </row>
    <row r="708" spans="3:4" ht="12.75" customHeight="1" x14ac:dyDescent="0.15">
      <c r="C708" s="3"/>
      <c r="D708" s="3"/>
    </row>
    <row r="709" spans="3:4" ht="12.75" customHeight="1" x14ac:dyDescent="0.15">
      <c r="C709" s="3"/>
      <c r="D709" s="3"/>
    </row>
    <row r="710" spans="3:4" ht="12.75" customHeight="1" x14ac:dyDescent="0.15">
      <c r="C710" s="3"/>
      <c r="D710" s="3"/>
    </row>
    <row r="711" spans="3:4" ht="12.75" customHeight="1" x14ac:dyDescent="0.15">
      <c r="C711" s="3"/>
      <c r="D711" s="3"/>
    </row>
    <row r="712" spans="3:4" ht="12.75" customHeight="1" x14ac:dyDescent="0.15">
      <c r="C712" s="3"/>
      <c r="D712" s="3"/>
    </row>
    <row r="713" spans="3:4" ht="12.75" customHeight="1" x14ac:dyDescent="0.15">
      <c r="C713" s="3"/>
      <c r="D713" s="3"/>
    </row>
    <row r="714" spans="3:4" ht="12.75" customHeight="1" x14ac:dyDescent="0.15">
      <c r="C714" s="3"/>
      <c r="D714" s="3"/>
    </row>
    <row r="715" spans="3:4" ht="12.75" customHeight="1" x14ac:dyDescent="0.15">
      <c r="C715" s="3"/>
      <c r="D715" s="3"/>
    </row>
    <row r="716" spans="3:4" ht="12.75" customHeight="1" x14ac:dyDescent="0.15">
      <c r="C716" s="3"/>
      <c r="D716" s="3"/>
    </row>
    <row r="717" spans="3:4" ht="12.75" customHeight="1" x14ac:dyDescent="0.15">
      <c r="C717" s="3"/>
      <c r="D717" s="3"/>
    </row>
    <row r="718" spans="3:4" ht="12.75" customHeight="1" x14ac:dyDescent="0.15">
      <c r="C718" s="3"/>
      <c r="D718" s="3"/>
    </row>
    <row r="719" spans="3:4" ht="12.75" customHeight="1" x14ac:dyDescent="0.15">
      <c r="C719" s="3"/>
      <c r="D719" s="3"/>
    </row>
    <row r="720" spans="3:4" ht="12.75" customHeight="1" x14ac:dyDescent="0.15">
      <c r="C720" s="3"/>
      <c r="D720" s="3"/>
    </row>
    <row r="721" spans="3:4" ht="12.75" customHeight="1" x14ac:dyDescent="0.15">
      <c r="C721" s="3"/>
      <c r="D721" s="3"/>
    </row>
    <row r="722" spans="3:4" ht="12.75" customHeight="1" x14ac:dyDescent="0.15">
      <c r="C722" s="3"/>
      <c r="D722" s="3"/>
    </row>
    <row r="723" spans="3:4" ht="12.75" customHeight="1" x14ac:dyDescent="0.15">
      <c r="C723" s="3"/>
      <c r="D723" s="3"/>
    </row>
    <row r="724" spans="3:4" ht="12.75" customHeight="1" x14ac:dyDescent="0.15">
      <c r="C724" s="3"/>
      <c r="D724" s="3"/>
    </row>
    <row r="725" spans="3:4" ht="12.75" customHeight="1" x14ac:dyDescent="0.15">
      <c r="C725" s="3"/>
      <c r="D725" s="3"/>
    </row>
    <row r="726" spans="3:4" ht="12.75" customHeight="1" x14ac:dyDescent="0.15">
      <c r="C726" s="3"/>
      <c r="D726" s="3"/>
    </row>
    <row r="727" spans="3:4" ht="12.75" customHeight="1" x14ac:dyDescent="0.15">
      <c r="C727" s="3"/>
      <c r="D727" s="3"/>
    </row>
    <row r="728" spans="3:4" ht="12.75" customHeight="1" x14ac:dyDescent="0.15">
      <c r="C728" s="3"/>
      <c r="D728" s="3"/>
    </row>
    <row r="729" spans="3:4" ht="12.75" customHeight="1" x14ac:dyDescent="0.15">
      <c r="C729" s="3"/>
      <c r="D729" s="3"/>
    </row>
    <row r="730" spans="3:4" ht="12.75" customHeight="1" x14ac:dyDescent="0.15">
      <c r="C730" s="3"/>
      <c r="D730" s="3"/>
    </row>
    <row r="731" spans="3:4" ht="12.75" customHeight="1" x14ac:dyDescent="0.15">
      <c r="C731" s="3"/>
      <c r="D731" s="3"/>
    </row>
    <row r="732" spans="3:4" ht="12.75" customHeight="1" x14ac:dyDescent="0.15">
      <c r="C732" s="3"/>
      <c r="D732" s="3"/>
    </row>
    <row r="733" spans="3:4" ht="12.75" customHeight="1" x14ac:dyDescent="0.15">
      <c r="C733" s="3"/>
      <c r="D733" s="3"/>
    </row>
    <row r="734" spans="3:4" ht="12.75" customHeight="1" x14ac:dyDescent="0.15">
      <c r="C734" s="3"/>
      <c r="D734" s="3"/>
    </row>
    <row r="735" spans="3:4" ht="12.75" customHeight="1" x14ac:dyDescent="0.15">
      <c r="C735" s="3"/>
      <c r="D735" s="3"/>
    </row>
    <row r="736" spans="3:4" ht="12.75" customHeight="1" x14ac:dyDescent="0.15">
      <c r="C736" s="3"/>
      <c r="D736" s="3"/>
    </row>
    <row r="737" spans="3:4" ht="12.75" customHeight="1" x14ac:dyDescent="0.15">
      <c r="C737" s="3"/>
      <c r="D737" s="3"/>
    </row>
    <row r="738" spans="3:4" ht="12.75" customHeight="1" x14ac:dyDescent="0.15">
      <c r="C738" s="3"/>
      <c r="D738" s="3"/>
    </row>
    <row r="739" spans="3:4" ht="12.75" customHeight="1" x14ac:dyDescent="0.15">
      <c r="C739" s="3"/>
      <c r="D739" s="3"/>
    </row>
    <row r="740" spans="3:4" ht="12.75" customHeight="1" x14ac:dyDescent="0.15">
      <c r="C740" s="3"/>
      <c r="D740" s="3"/>
    </row>
    <row r="741" spans="3:4" ht="12.75" customHeight="1" x14ac:dyDescent="0.15">
      <c r="C741" s="3"/>
      <c r="D741" s="3"/>
    </row>
    <row r="742" spans="3:4" ht="12.75" customHeight="1" x14ac:dyDescent="0.15">
      <c r="C742" s="3"/>
      <c r="D742" s="3"/>
    </row>
    <row r="743" spans="3:4" ht="12.75" customHeight="1" x14ac:dyDescent="0.15">
      <c r="C743" s="3"/>
      <c r="D743" s="3"/>
    </row>
    <row r="744" spans="3:4" ht="12.75" customHeight="1" x14ac:dyDescent="0.15">
      <c r="C744" s="3"/>
      <c r="D744" s="3"/>
    </row>
    <row r="745" spans="3:4" ht="12.75" customHeight="1" x14ac:dyDescent="0.15">
      <c r="C745" s="3"/>
      <c r="D745" s="3"/>
    </row>
    <row r="746" spans="3:4" ht="12.75" customHeight="1" x14ac:dyDescent="0.15">
      <c r="C746" s="3"/>
      <c r="D746" s="3"/>
    </row>
    <row r="747" spans="3:4" ht="12.75" customHeight="1" x14ac:dyDescent="0.15">
      <c r="C747" s="3"/>
      <c r="D747" s="3"/>
    </row>
    <row r="748" spans="3:4" ht="12.75" customHeight="1" x14ac:dyDescent="0.15">
      <c r="C748" s="3"/>
      <c r="D748" s="3"/>
    </row>
    <row r="749" spans="3:4" ht="12.75" customHeight="1" x14ac:dyDescent="0.15">
      <c r="C749" s="3"/>
      <c r="D749" s="3"/>
    </row>
    <row r="750" spans="3:4" ht="12.75" customHeight="1" x14ac:dyDescent="0.15">
      <c r="C750" s="3"/>
      <c r="D750" s="3"/>
    </row>
    <row r="751" spans="3:4" ht="12.75" customHeight="1" x14ac:dyDescent="0.15">
      <c r="C751" s="3"/>
      <c r="D751" s="3"/>
    </row>
    <row r="752" spans="3:4" ht="12.75" customHeight="1" x14ac:dyDescent="0.15">
      <c r="C752" s="3"/>
      <c r="D752" s="3"/>
    </row>
    <row r="753" spans="3:4" ht="12.75" customHeight="1" x14ac:dyDescent="0.15">
      <c r="C753" s="3"/>
      <c r="D753" s="3"/>
    </row>
    <row r="754" spans="3:4" ht="12.75" customHeight="1" x14ac:dyDescent="0.15">
      <c r="C754" s="3"/>
      <c r="D754" s="3"/>
    </row>
    <row r="755" spans="3:4" ht="12.75" customHeight="1" x14ac:dyDescent="0.15">
      <c r="C755" s="3"/>
      <c r="D755" s="3"/>
    </row>
    <row r="756" spans="3:4" ht="12.75" customHeight="1" x14ac:dyDescent="0.15">
      <c r="C756" s="3"/>
      <c r="D756" s="3"/>
    </row>
    <row r="757" spans="3:4" ht="12.75" customHeight="1" x14ac:dyDescent="0.15">
      <c r="C757" s="3"/>
      <c r="D757" s="3"/>
    </row>
    <row r="758" spans="3:4" ht="12.75" customHeight="1" x14ac:dyDescent="0.15">
      <c r="C758" s="3"/>
      <c r="D758" s="3"/>
    </row>
    <row r="759" spans="3:4" ht="12.75" customHeight="1" x14ac:dyDescent="0.15">
      <c r="C759" s="3"/>
      <c r="D759" s="3"/>
    </row>
    <row r="760" spans="3:4" ht="12.75" customHeight="1" x14ac:dyDescent="0.15">
      <c r="C760" s="3"/>
      <c r="D760" s="3"/>
    </row>
    <row r="761" spans="3:4" ht="12.75" customHeight="1" x14ac:dyDescent="0.15">
      <c r="C761" s="3"/>
      <c r="D761" s="3"/>
    </row>
    <row r="762" spans="3:4" ht="12.75" customHeight="1" x14ac:dyDescent="0.15">
      <c r="C762" s="3"/>
      <c r="D762" s="3"/>
    </row>
    <row r="763" spans="3:4" ht="12.75" customHeight="1" x14ac:dyDescent="0.15">
      <c r="C763" s="3"/>
      <c r="D763" s="3"/>
    </row>
    <row r="764" spans="3:4" ht="12.75" customHeight="1" x14ac:dyDescent="0.15">
      <c r="C764" s="3"/>
      <c r="D764" s="3"/>
    </row>
    <row r="765" spans="3:4" ht="12.75" customHeight="1" x14ac:dyDescent="0.15">
      <c r="C765" s="3"/>
      <c r="D765" s="3"/>
    </row>
    <row r="766" spans="3:4" ht="12.75" customHeight="1" x14ac:dyDescent="0.15">
      <c r="C766" s="3"/>
      <c r="D766" s="3"/>
    </row>
    <row r="767" spans="3:4" ht="12.75" customHeight="1" x14ac:dyDescent="0.15">
      <c r="C767" s="3"/>
      <c r="D767" s="3"/>
    </row>
    <row r="768" spans="3:4" ht="12.75" customHeight="1" x14ac:dyDescent="0.15">
      <c r="C768" s="3"/>
      <c r="D768" s="3"/>
    </row>
    <row r="769" spans="3:4" ht="12.75" customHeight="1" x14ac:dyDescent="0.15">
      <c r="C769" s="3"/>
      <c r="D769" s="3"/>
    </row>
    <row r="770" spans="3:4" ht="12.75" customHeight="1" x14ac:dyDescent="0.15">
      <c r="C770" s="3"/>
      <c r="D770" s="3"/>
    </row>
    <row r="771" spans="3:4" ht="12.75" customHeight="1" x14ac:dyDescent="0.15">
      <c r="C771" s="3"/>
      <c r="D771" s="3"/>
    </row>
    <row r="772" spans="3:4" ht="12.75" customHeight="1" x14ac:dyDescent="0.15">
      <c r="C772" s="3"/>
      <c r="D772" s="3"/>
    </row>
    <row r="773" spans="3:4" ht="12.75" customHeight="1" x14ac:dyDescent="0.15">
      <c r="C773" s="3"/>
      <c r="D773" s="3"/>
    </row>
    <row r="774" spans="3:4" ht="12.75" customHeight="1" x14ac:dyDescent="0.15">
      <c r="C774" s="3"/>
      <c r="D774" s="3"/>
    </row>
    <row r="775" spans="3:4" ht="12.75" customHeight="1" x14ac:dyDescent="0.15">
      <c r="C775" s="3"/>
      <c r="D775" s="3"/>
    </row>
    <row r="776" spans="3:4" ht="12.75" customHeight="1" x14ac:dyDescent="0.15">
      <c r="C776" s="3"/>
      <c r="D776" s="3"/>
    </row>
    <row r="777" spans="3:4" ht="12.75" customHeight="1" x14ac:dyDescent="0.15">
      <c r="C777" s="3"/>
      <c r="D777" s="3"/>
    </row>
    <row r="778" spans="3:4" ht="12.75" customHeight="1" x14ac:dyDescent="0.15">
      <c r="C778" s="3"/>
      <c r="D778" s="3"/>
    </row>
    <row r="779" spans="3:4" ht="12.75" customHeight="1" x14ac:dyDescent="0.15">
      <c r="C779" s="3"/>
      <c r="D779" s="3"/>
    </row>
    <row r="780" spans="3:4" ht="12.75" customHeight="1" x14ac:dyDescent="0.15">
      <c r="C780" s="3"/>
      <c r="D780" s="3"/>
    </row>
    <row r="781" spans="3:4" ht="12.75" customHeight="1" x14ac:dyDescent="0.15">
      <c r="C781" s="3"/>
      <c r="D781" s="3"/>
    </row>
    <row r="782" spans="3:4" ht="12.75" customHeight="1" x14ac:dyDescent="0.15">
      <c r="C782" s="3"/>
      <c r="D782" s="3"/>
    </row>
    <row r="783" spans="3:4" ht="12.75" customHeight="1" x14ac:dyDescent="0.15">
      <c r="C783" s="3"/>
      <c r="D783" s="3"/>
    </row>
    <row r="784" spans="3:4" ht="12.75" customHeight="1" x14ac:dyDescent="0.15">
      <c r="C784" s="3"/>
      <c r="D784" s="3"/>
    </row>
    <row r="785" spans="3:4" ht="12.75" customHeight="1" x14ac:dyDescent="0.15">
      <c r="C785" s="3"/>
      <c r="D785" s="3"/>
    </row>
    <row r="786" spans="3:4" ht="12.75" customHeight="1" x14ac:dyDescent="0.15">
      <c r="C786" s="3"/>
      <c r="D786" s="3"/>
    </row>
    <row r="787" spans="3:4" ht="12.75" customHeight="1" x14ac:dyDescent="0.15">
      <c r="C787" s="3"/>
      <c r="D787" s="3"/>
    </row>
    <row r="788" spans="3:4" ht="12.75" customHeight="1" x14ac:dyDescent="0.15">
      <c r="C788" s="3"/>
      <c r="D788" s="3"/>
    </row>
    <row r="789" spans="3:4" ht="12.75" customHeight="1" x14ac:dyDescent="0.15">
      <c r="C789" s="3"/>
      <c r="D789" s="3"/>
    </row>
    <row r="790" spans="3:4" ht="12.75" customHeight="1" x14ac:dyDescent="0.15">
      <c r="C790" s="3"/>
      <c r="D790" s="3"/>
    </row>
    <row r="791" spans="3:4" ht="12.75" customHeight="1" x14ac:dyDescent="0.15">
      <c r="C791" s="3"/>
      <c r="D791" s="3"/>
    </row>
    <row r="792" spans="3:4" ht="12.75" customHeight="1" x14ac:dyDescent="0.15">
      <c r="C792" s="3"/>
      <c r="D792" s="3"/>
    </row>
    <row r="793" spans="3:4" ht="12.75" customHeight="1" x14ac:dyDescent="0.15">
      <c r="C793" s="3"/>
      <c r="D793" s="3"/>
    </row>
    <row r="794" spans="3:4" ht="12.75" customHeight="1" x14ac:dyDescent="0.15">
      <c r="C794" s="3"/>
      <c r="D794" s="3"/>
    </row>
    <row r="795" spans="3:4" ht="12.75" customHeight="1" x14ac:dyDescent="0.15">
      <c r="C795" s="3"/>
      <c r="D795" s="3"/>
    </row>
    <row r="796" spans="3:4" ht="12.75" customHeight="1" x14ac:dyDescent="0.15">
      <c r="C796" s="3"/>
      <c r="D796" s="3"/>
    </row>
    <row r="797" spans="3:4" ht="12.75" customHeight="1" x14ac:dyDescent="0.15">
      <c r="C797" s="3"/>
      <c r="D797" s="3"/>
    </row>
    <row r="798" spans="3:4" ht="12.75" customHeight="1" x14ac:dyDescent="0.15">
      <c r="C798" s="3"/>
      <c r="D798" s="3"/>
    </row>
    <row r="799" spans="3:4" ht="12.75" customHeight="1" x14ac:dyDescent="0.15">
      <c r="C799" s="3"/>
      <c r="D799" s="3"/>
    </row>
    <row r="800" spans="3:4" ht="12.75" customHeight="1" x14ac:dyDescent="0.15">
      <c r="C800" s="3"/>
      <c r="D800" s="3"/>
    </row>
    <row r="801" spans="3:4" ht="12.75" customHeight="1" x14ac:dyDescent="0.15">
      <c r="C801" s="3"/>
      <c r="D801" s="3"/>
    </row>
    <row r="802" spans="3:4" ht="12.75" customHeight="1" x14ac:dyDescent="0.15">
      <c r="C802" s="3"/>
      <c r="D802" s="3"/>
    </row>
    <row r="803" spans="3:4" ht="12.75" customHeight="1" x14ac:dyDescent="0.15">
      <c r="C803" s="3"/>
      <c r="D803" s="3"/>
    </row>
    <row r="804" spans="3:4" ht="12.75" customHeight="1" x14ac:dyDescent="0.15">
      <c r="C804" s="3"/>
      <c r="D804" s="3"/>
    </row>
    <row r="805" spans="3:4" ht="12.75" customHeight="1" x14ac:dyDescent="0.15">
      <c r="C805" s="3"/>
      <c r="D805" s="3"/>
    </row>
    <row r="806" spans="3:4" ht="12.75" customHeight="1" x14ac:dyDescent="0.15">
      <c r="C806" s="3"/>
      <c r="D806" s="3"/>
    </row>
    <row r="807" spans="3:4" ht="12.75" customHeight="1" x14ac:dyDescent="0.15">
      <c r="C807" s="3"/>
      <c r="D807" s="3"/>
    </row>
    <row r="808" spans="3:4" ht="12.75" customHeight="1" x14ac:dyDescent="0.15">
      <c r="C808" s="3"/>
      <c r="D808" s="3"/>
    </row>
    <row r="809" spans="3:4" ht="12.75" customHeight="1" x14ac:dyDescent="0.15">
      <c r="C809" s="3"/>
      <c r="D809" s="3"/>
    </row>
    <row r="810" spans="3:4" ht="12.75" customHeight="1" x14ac:dyDescent="0.15">
      <c r="C810" s="3"/>
      <c r="D810" s="3"/>
    </row>
    <row r="811" spans="3:4" ht="12.75" customHeight="1" x14ac:dyDescent="0.15">
      <c r="C811" s="3"/>
      <c r="D811" s="3"/>
    </row>
    <row r="812" spans="3:4" ht="12.75" customHeight="1" x14ac:dyDescent="0.15">
      <c r="C812" s="3"/>
      <c r="D812" s="3"/>
    </row>
    <row r="813" spans="3:4" ht="12.75" customHeight="1" x14ac:dyDescent="0.15">
      <c r="C813" s="3"/>
      <c r="D813" s="3"/>
    </row>
    <row r="814" spans="3:4" ht="12.75" customHeight="1" x14ac:dyDescent="0.15">
      <c r="C814" s="3"/>
      <c r="D814" s="3"/>
    </row>
    <row r="815" spans="3:4" ht="12.75" customHeight="1" x14ac:dyDescent="0.15">
      <c r="C815" s="3"/>
      <c r="D815" s="3"/>
    </row>
    <row r="816" spans="3:4" ht="12.75" customHeight="1" x14ac:dyDescent="0.15">
      <c r="C816" s="3"/>
      <c r="D816" s="3"/>
    </row>
    <row r="817" spans="3:4" ht="12.75" customHeight="1" x14ac:dyDescent="0.15">
      <c r="C817" s="3"/>
      <c r="D817" s="3"/>
    </row>
    <row r="818" spans="3:4" ht="12.75" customHeight="1" x14ac:dyDescent="0.15">
      <c r="C818" s="3"/>
      <c r="D818" s="3"/>
    </row>
    <row r="819" spans="3:4" ht="12.75" customHeight="1" x14ac:dyDescent="0.15">
      <c r="C819" s="3"/>
      <c r="D819" s="3"/>
    </row>
    <row r="820" spans="3:4" ht="12.75" customHeight="1" x14ac:dyDescent="0.15">
      <c r="C820" s="3"/>
      <c r="D820" s="3"/>
    </row>
    <row r="821" spans="3:4" ht="12.75" customHeight="1" x14ac:dyDescent="0.15">
      <c r="C821" s="3"/>
      <c r="D821" s="3"/>
    </row>
    <row r="822" spans="3:4" ht="12.75" customHeight="1" x14ac:dyDescent="0.15">
      <c r="C822" s="3"/>
      <c r="D822" s="3"/>
    </row>
    <row r="823" spans="3:4" ht="12.75" customHeight="1" x14ac:dyDescent="0.15">
      <c r="C823" s="3"/>
      <c r="D823" s="3"/>
    </row>
    <row r="824" spans="3:4" ht="12.75" customHeight="1" x14ac:dyDescent="0.15">
      <c r="C824" s="3"/>
      <c r="D824" s="3"/>
    </row>
    <row r="825" spans="3:4" ht="12.75" customHeight="1" x14ac:dyDescent="0.15">
      <c r="C825" s="3"/>
      <c r="D825" s="3"/>
    </row>
    <row r="826" spans="3:4" ht="12.75" customHeight="1" x14ac:dyDescent="0.15">
      <c r="C826" s="3"/>
      <c r="D826" s="3"/>
    </row>
    <row r="827" spans="3:4" ht="12.75" customHeight="1" x14ac:dyDescent="0.15">
      <c r="C827" s="3"/>
      <c r="D827" s="3"/>
    </row>
    <row r="828" spans="3:4" ht="12.75" customHeight="1" x14ac:dyDescent="0.15">
      <c r="C828" s="3"/>
      <c r="D828" s="3"/>
    </row>
    <row r="829" spans="3:4" ht="12.75" customHeight="1" x14ac:dyDescent="0.15">
      <c r="C829" s="3"/>
      <c r="D829" s="3"/>
    </row>
    <row r="830" spans="3:4" ht="12.75" customHeight="1" x14ac:dyDescent="0.15">
      <c r="C830" s="3"/>
      <c r="D830" s="3"/>
    </row>
    <row r="831" spans="3:4" ht="12.75" customHeight="1" x14ac:dyDescent="0.15">
      <c r="C831" s="3"/>
      <c r="D831" s="3"/>
    </row>
    <row r="832" spans="3:4" ht="12.75" customHeight="1" x14ac:dyDescent="0.15">
      <c r="C832" s="3"/>
      <c r="D832" s="3"/>
    </row>
    <row r="833" spans="3:4" ht="12.75" customHeight="1" x14ac:dyDescent="0.15">
      <c r="C833" s="3"/>
      <c r="D833" s="3"/>
    </row>
    <row r="834" spans="3:4" ht="12.75" customHeight="1" x14ac:dyDescent="0.15">
      <c r="C834" s="3"/>
      <c r="D834" s="3"/>
    </row>
    <row r="835" spans="3:4" ht="12.75" customHeight="1" x14ac:dyDescent="0.15">
      <c r="C835" s="3"/>
      <c r="D835" s="3"/>
    </row>
    <row r="836" spans="3:4" ht="12.75" customHeight="1" x14ac:dyDescent="0.15">
      <c r="C836" s="3"/>
      <c r="D836" s="3"/>
    </row>
    <row r="837" spans="3:4" ht="12.75" customHeight="1" x14ac:dyDescent="0.15">
      <c r="C837" s="3"/>
      <c r="D837" s="3"/>
    </row>
    <row r="838" spans="3:4" ht="12.75" customHeight="1" x14ac:dyDescent="0.15">
      <c r="C838" s="3"/>
      <c r="D838" s="3"/>
    </row>
    <row r="839" spans="3:4" ht="12.75" customHeight="1" x14ac:dyDescent="0.15">
      <c r="C839" s="3"/>
      <c r="D839" s="3"/>
    </row>
    <row r="840" spans="3:4" ht="12.75" customHeight="1" x14ac:dyDescent="0.15">
      <c r="C840" s="3"/>
      <c r="D840" s="3"/>
    </row>
    <row r="841" spans="3:4" ht="12.75" customHeight="1" x14ac:dyDescent="0.15">
      <c r="C841" s="3"/>
      <c r="D841" s="3"/>
    </row>
    <row r="842" spans="3:4" ht="12.75" customHeight="1" x14ac:dyDescent="0.15">
      <c r="C842" s="3"/>
      <c r="D842" s="3"/>
    </row>
    <row r="843" spans="3:4" ht="12.75" customHeight="1" x14ac:dyDescent="0.15">
      <c r="C843" s="3"/>
      <c r="D843" s="3"/>
    </row>
    <row r="844" spans="3:4" ht="12.75" customHeight="1" x14ac:dyDescent="0.15">
      <c r="C844" s="3"/>
      <c r="D844" s="3"/>
    </row>
    <row r="845" spans="3:4" ht="12.75" customHeight="1" x14ac:dyDescent="0.15">
      <c r="C845" s="3"/>
      <c r="D845" s="3"/>
    </row>
    <row r="846" spans="3:4" ht="12.75" customHeight="1" x14ac:dyDescent="0.15">
      <c r="C846" s="3"/>
      <c r="D846" s="3"/>
    </row>
    <row r="847" spans="3:4" ht="12.75" customHeight="1" x14ac:dyDescent="0.15">
      <c r="C847" s="3"/>
      <c r="D847" s="3"/>
    </row>
    <row r="848" spans="3:4" ht="12.75" customHeight="1" x14ac:dyDescent="0.15">
      <c r="C848" s="3"/>
      <c r="D848" s="3"/>
    </row>
    <row r="849" spans="3:4" ht="12.75" customHeight="1" x14ac:dyDescent="0.15">
      <c r="C849" s="3"/>
      <c r="D849" s="3"/>
    </row>
    <row r="850" spans="3:4" ht="12.75" customHeight="1" x14ac:dyDescent="0.15">
      <c r="C850" s="3"/>
      <c r="D850" s="3"/>
    </row>
    <row r="851" spans="3:4" ht="12.75" customHeight="1" x14ac:dyDescent="0.15">
      <c r="C851" s="3"/>
      <c r="D851" s="3"/>
    </row>
    <row r="852" spans="3:4" ht="12.75" customHeight="1" x14ac:dyDescent="0.15">
      <c r="C852" s="3"/>
      <c r="D852" s="3"/>
    </row>
    <row r="853" spans="3:4" ht="12.75" customHeight="1" x14ac:dyDescent="0.15">
      <c r="C853" s="3"/>
      <c r="D853" s="3"/>
    </row>
    <row r="854" spans="3:4" ht="12.75" customHeight="1" x14ac:dyDescent="0.15">
      <c r="C854" s="3"/>
      <c r="D854" s="3"/>
    </row>
    <row r="855" spans="3:4" ht="12.75" customHeight="1" x14ac:dyDescent="0.15">
      <c r="C855" s="3"/>
      <c r="D855" s="3"/>
    </row>
    <row r="856" spans="3:4" ht="12.75" customHeight="1" x14ac:dyDescent="0.15">
      <c r="C856" s="3"/>
      <c r="D856" s="3"/>
    </row>
    <row r="857" spans="3:4" ht="12.75" customHeight="1" x14ac:dyDescent="0.15">
      <c r="C857" s="3"/>
      <c r="D857" s="3"/>
    </row>
    <row r="858" spans="3:4" ht="12.75" customHeight="1" x14ac:dyDescent="0.15">
      <c r="C858" s="3"/>
      <c r="D858" s="3"/>
    </row>
    <row r="859" spans="3:4" ht="12.75" customHeight="1" x14ac:dyDescent="0.15">
      <c r="C859" s="3"/>
      <c r="D859" s="3"/>
    </row>
    <row r="860" spans="3:4" ht="12.75" customHeight="1" x14ac:dyDescent="0.15">
      <c r="C860" s="3"/>
      <c r="D860" s="3"/>
    </row>
    <row r="861" spans="3:4" ht="12.75" customHeight="1" x14ac:dyDescent="0.15">
      <c r="C861" s="3"/>
      <c r="D861" s="3"/>
    </row>
    <row r="862" spans="3:4" ht="12.75" customHeight="1" x14ac:dyDescent="0.15">
      <c r="C862" s="3"/>
      <c r="D862" s="3"/>
    </row>
    <row r="863" spans="3:4" ht="12.75" customHeight="1" x14ac:dyDescent="0.15">
      <c r="C863" s="3"/>
      <c r="D863" s="3"/>
    </row>
    <row r="864" spans="3:4" ht="12.75" customHeight="1" x14ac:dyDescent="0.15">
      <c r="C864" s="3"/>
      <c r="D864" s="3"/>
    </row>
    <row r="865" spans="3:4" ht="12.75" customHeight="1" x14ac:dyDescent="0.15">
      <c r="C865" s="3"/>
      <c r="D865" s="3"/>
    </row>
    <row r="866" spans="3:4" ht="12.75" customHeight="1" x14ac:dyDescent="0.15">
      <c r="C866" s="3"/>
      <c r="D866" s="3"/>
    </row>
    <row r="867" spans="3:4" ht="12.75" customHeight="1" x14ac:dyDescent="0.15">
      <c r="C867" s="3"/>
      <c r="D867" s="3"/>
    </row>
    <row r="868" spans="3:4" ht="12.75" customHeight="1" x14ac:dyDescent="0.15">
      <c r="C868" s="3"/>
      <c r="D868" s="3"/>
    </row>
    <row r="869" spans="3:4" ht="12.75" customHeight="1" x14ac:dyDescent="0.15">
      <c r="C869" s="3"/>
      <c r="D869" s="3"/>
    </row>
    <row r="870" spans="3:4" ht="12.75" customHeight="1" x14ac:dyDescent="0.15">
      <c r="C870" s="3"/>
      <c r="D870" s="3"/>
    </row>
    <row r="871" spans="3:4" ht="12.75" customHeight="1" x14ac:dyDescent="0.15">
      <c r="C871" s="3"/>
      <c r="D871" s="3"/>
    </row>
    <row r="872" spans="3:4" ht="12.75" customHeight="1" x14ac:dyDescent="0.15">
      <c r="C872" s="3"/>
      <c r="D872" s="3"/>
    </row>
    <row r="873" spans="3:4" ht="12.75" customHeight="1" x14ac:dyDescent="0.15">
      <c r="C873" s="3"/>
      <c r="D873" s="3"/>
    </row>
    <row r="874" spans="3:4" ht="12.75" customHeight="1" x14ac:dyDescent="0.15">
      <c r="C874" s="3"/>
      <c r="D874" s="3"/>
    </row>
    <row r="875" spans="3:4" ht="12.75" customHeight="1" x14ac:dyDescent="0.15">
      <c r="C875" s="3"/>
      <c r="D875" s="3"/>
    </row>
    <row r="876" spans="3:4" ht="12.75" customHeight="1" x14ac:dyDescent="0.15">
      <c r="C876" s="3"/>
      <c r="D876" s="3"/>
    </row>
    <row r="877" spans="3:4" ht="12.75" customHeight="1" x14ac:dyDescent="0.15">
      <c r="C877" s="3"/>
      <c r="D877" s="3"/>
    </row>
    <row r="878" spans="3:4" ht="12.75" customHeight="1" x14ac:dyDescent="0.15">
      <c r="C878" s="3"/>
      <c r="D878" s="3"/>
    </row>
    <row r="879" spans="3:4" ht="12.75" customHeight="1" x14ac:dyDescent="0.15">
      <c r="C879" s="3"/>
      <c r="D879" s="3"/>
    </row>
    <row r="880" spans="3:4" ht="12.75" customHeight="1" x14ac:dyDescent="0.15">
      <c r="C880" s="3"/>
      <c r="D880" s="3"/>
    </row>
    <row r="881" spans="3:4" ht="12.75" customHeight="1" x14ac:dyDescent="0.15">
      <c r="C881" s="3"/>
      <c r="D881" s="3"/>
    </row>
    <row r="882" spans="3:4" ht="12.75" customHeight="1" x14ac:dyDescent="0.15">
      <c r="C882" s="3"/>
      <c r="D882" s="3"/>
    </row>
    <row r="883" spans="3:4" ht="12.75" customHeight="1" x14ac:dyDescent="0.15">
      <c r="C883" s="3"/>
      <c r="D883" s="3"/>
    </row>
    <row r="884" spans="3:4" ht="12.75" customHeight="1" x14ac:dyDescent="0.15">
      <c r="C884" s="3"/>
      <c r="D884" s="3"/>
    </row>
    <row r="885" spans="3:4" ht="12.75" customHeight="1" x14ac:dyDescent="0.15">
      <c r="C885" s="3"/>
      <c r="D885" s="3"/>
    </row>
    <row r="886" spans="3:4" ht="12.75" customHeight="1" x14ac:dyDescent="0.15">
      <c r="C886" s="3"/>
      <c r="D886" s="3"/>
    </row>
    <row r="887" spans="3:4" ht="12.75" customHeight="1" x14ac:dyDescent="0.15">
      <c r="C887" s="3"/>
      <c r="D887" s="3"/>
    </row>
    <row r="888" spans="3:4" ht="12.75" customHeight="1" x14ac:dyDescent="0.15">
      <c r="C888" s="3"/>
      <c r="D888" s="3"/>
    </row>
    <row r="889" spans="3:4" ht="12.75" customHeight="1" x14ac:dyDescent="0.15">
      <c r="C889" s="3"/>
      <c r="D889" s="3"/>
    </row>
    <row r="890" spans="3:4" ht="12.75" customHeight="1" x14ac:dyDescent="0.15">
      <c r="C890" s="3"/>
      <c r="D890" s="3"/>
    </row>
    <row r="891" spans="3:4" ht="12.75" customHeight="1" x14ac:dyDescent="0.15">
      <c r="C891" s="3"/>
      <c r="D891" s="3"/>
    </row>
    <row r="892" spans="3:4" ht="12.75" customHeight="1" x14ac:dyDescent="0.15">
      <c r="C892" s="3"/>
      <c r="D892" s="3"/>
    </row>
    <row r="893" spans="3:4" ht="12.75" customHeight="1" x14ac:dyDescent="0.15">
      <c r="C893" s="3"/>
      <c r="D893" s="3"/>
    </row>
    <row r="894" spans="3:4" ht="12.75" customHeight="1" x14ac:dyDescent="0.15">
      <c r="C894" s="3"/>
      <c r="D894" s="3"/>
    </row>
    <row r="895" spans="3:4" ht="12.75" customHeight="1" x14ac:dyDescent="0.15">
      <c r="C895" s="3"/>
      <c r="D895" s="3"/>
    </row>
    <row r="896" spans="3:4" ht="12.75" customHeight="1" x14ac:dyDescent="0.15">
      <c r="C896" s="3"/>
      <c r="D896" s="3"/>
    </row>
    <row r="897" spans="3:4" ht="12.75" customHeight="1" x14ac:dyDescent="0.15">
      <c r="C897" s="3"/>
      <c r="D897" s="3"/>
    </row>
    <row r="898" spans="3:4" ht="12.75" customHeight="1" x14ac:dyDescent="0.15">
      <c r="C898" s="3"/>
      <c r="D898" s="3"/>
    </row>
    <row r="899" spans="3:4" ht="12.75" customHeight="1" x14ac:dyDescent="0.15">
      <c r="C899" s="3"/>
      <c r="D899" s="3"/>
    </row>
    <row r="900" spans="3:4" ht="12.75" customHeight="1" x14ac:dyDescent="0.15">
      <c r="C900" s="3"/>
      <c r="D900" s="3"/>
    </row>
    <row r="901" spans="3:4" ht="12.75" customHeight="1" x14ac:dyDescent="0.15">
      <c r="C901" s="3"/>
      <c r="D901" s="3"/>
    </row>
    <row r="902" spans="3:4" ht="12.75" customHeight="1" x14ac:dyDescent="0.15">
      <c r="C902" s="3"/>
      <c r="D902" s="3"/>
    </row>
    <row r="903" spans="3:4" ht="12.75" customHeight="1" x14ac:dyDescent="0.15">
      <c r="C903" s="3"/>
      <c r="D903" s="3"/>
    </row>
    <row r="904" spans="3:4" ht="12.75" customHeight="1" x14ac:dyDescent="0.15">
      <c r="C904" s="3"/>
      <c r="D904" s="3"/>
    </row>
    <row r="905" spans="3:4" ht="12.75" customHeight="1" x14ac:dyDescent="0.15">
      <c r="C905" s="3"/>
      <c r="D905" s="3"/>
    </row>
    <row r="906" spans="3:4" ht="12.75" customHeight="1" x14ac:dyDescent="0.15">
      <c r="C906" s="3"/>
      <c r="D906" s="3"/>
    </row>
    <row r="907" spans="3:4" ht="12.75" customHeight="1" x14ac:dyDescent="0.15">
      <c r="C907" s="3"/>
      <c r="D907" s="3"/>
    </row>
    <row r="908" spans="3:4" ht="12.75" customHeight="1" x14ac:dyDescent="0.15">
      <c r="C908" s="3"/>
      <c r="D908" s="3"/>
    </row>
    <row r="909" spans="3:4" ht="12.75" customHeight="1" x14ac:dyDescent="0.15">
      <c r="C909" s="3"/>
      <c r="D909" s="3"/>
    </row>
    <row r="910" spans="3:4" ht="12.75" customHeight="1" x14ac:dyDescent="0.15">
      <c r="C910" s="3"/>
      <c r="D910" s="3"/>
    </row>
    <row r="911" spans="3:4" ht="12.75" customHeight="1" x14ac:dyDescent="0.15">
      <c r="C911" s="3"/>
      <c r="D911" s="3"/>
    </row>
    <row r="912" spans="3:4" ht="12.75" customHeight="1" x14ac:dyDescent="0.15">
      <c r="C912" s="3"/>
      <c r="D912" s="3"/>
    </row>
    <row r="913" spans="3:4" ht="12.75" customHeight="1" x14ac:dyDescent="0.15">
      <c r="C913" s="3"/>
      <c r="D913" s="3"/>
    </row>
    <row r="914" spans="3:4" ht="12.75" customHeight="1" x14ac:dyDescent="0.15">
      <c r="C914" s="3"/>
      <c r="D914" s="3"/>
    </row>
    <row r="915" spans="3:4" ht="12.75" customHeight="1" x14ac:dyDescent="0.15">
      <c r="C915" s="3"/>
      <c r="D915" s="3"/>
    </row>
    <row r="916" spans="3:4" ht="12.75" customHeight="1" x14ac:dyDescent="0.15">
      <c r="C916" s="3"/>
      <c r="D916" s="3"/>
    </row>
    <row r="917" spans="3:4" ht="12.75" customHeight="1" x14ac:dyDescent="0.15">
      <c r="C917" s="3"/>
      <c r="D917" s="3"/>
    </row>
    <row r="918" spans="3:4" ht="12.75" customHeight="1" x14ac:dyDescent="0.15">
      <c r="C918" s="3"/>
      <c r="D918" s="3"/>
    </row>
    <row r="919" spans="3:4" ht="12.75" customHeight="1" x14ac:dyDescent="0.15">
      <c r="C919" s="3"/>
      <c r="D919" s="3"/>
    </row>
    <row r="920" spans="3:4" ht="12.75" customHeight="1" x14ac:dyDescent="0.15">
      <c r="C920" s="3"/>
      <c r="D920" s="3"/>
    </row>
    <row r="921" spans="3:4" ht="12.75" customHeight="1" x14ac:dyDescent="0.15">
      <c r="C921" s="3"/>
      <c r="D921" s="3"/>
    </row>
    <row r="922" spans="3:4" ht="12.75" customHeight="1" x14ac:dyDescent="0.15">
      <c r="C922" s="3"/>
      <c r="D922" s="3"/>
    </row>
    <row r="923" spans="3:4" ht="12.75" customHeight="1" x14ac:dyDescent="0.15">
      <c r="C923" s="3"/>
      <c r="D923" s="3"/>
    </row>
    <row r="924" spans="3:4" ht="12.75" customHeight="1" x14ac:dyDescent="0.15">
      <c r="C924" s="3"/>
      <c r="D924" s="3"/>
    </row>
    <row r="925" spans="3:4" ht="12.75" customHeight="1" x14ac:dyDescent="0.15">
      <c r="C925" s="3"/>
      <c r="D925" s="3"/>
    </row>
    <row r="926" spans="3:4" ht="12.75" customHeight="1" x14ac:dyDescent="0.15">
      <c r="C926" s="3"/>
      <c r="D926" s="3"/>
    </row>
    <row r="927" spans="3:4" ht="12.75" customHeight="1" x14ac:dyDescent="0.15">
      <c r="C927" s="3"/>
      <c r="D927" s="3"/>
    </row>
    <row r="928" spans="3:4" ht="12.75" customHeight="1" x14ac:dyDescent="0.15">
      <c r="C928" s="3"/>
      <c r="D928" s="3"/>
    </row>
    <row r="929" spans="3:4" ht="12.75" customHeight="1" x14ac:dyDescent="0.15">
      <c r="C929" s="3"/>
      <c r="D929" s="3"/>
    </row>
    <row r="930" spans="3:4" ht="12.75" customHeight="1" x14ac:dyDescent="0.15">
      <c r="C930" s="3"/>
      <c r="D930" s="3"/>
    </row>
    <row r="931" spans="3:4" ht="12.75" customHeight="1" x14ac:dyDescent="0.15">
      <c r="C931" s="3"/>
      <c r="D931" s="3"/>
    </row>
    <row r="932" spans="3:4" ht="12.75" customHeight="1" x14ac:dyDescent="0.15">
      <c r="C932" s="3"/>
      <c r="D932" s="3"/>
    </row>
    <row r="933" spans="3:4" ht="12.75" customHeight="1" x14ac:dyDescent="0.15">
      <c r="C933" s="3"/>
      <c r="D933" s="3"/>
    </row>
    <row r="934" spans="3:4" ht="12.75" customHeight="1" x14ac:dyDescent="0.15">
      <c r="C934" s="3"/>
      <c r="D934" s="3"/>
    </row>
    <row r="935" spans="3:4" ht="12.75" customHeight="1" x14ac:dyDescent="0.15">
      <c r="C935" s="3"/>
      <c r="D935" s="3"/>
    </row>
    <row r="936" spans="3:4" ht="12.75" customHeight="1" x14ac:dyDescent="0.15">
      <c r="C936" s="3"/>
      <c r="D936" s="3"/>
    </row>
    <row r="937" spans="3:4" ht="12.75" customHeight="1" x14ac:dyDescent="0.15">
      <c r="C937" s="3"/>
      <c r="D937" s="3"/>
    </row>
    <row r="938" spans="3:4" ht="12.75" customHeight="1" x14ac:dyDescent="0.15">
      <c r="C938" s="3"/>
      <c r="D938" s="3"/>
    </row>
    <row r="939" spans="3:4" ht="12.75" customHeight="1" x14ac:dyDescent="0.15">
      <c r="C939" s="3"/>
      <c r="D939" s="3"/>
    </row>
    <row r="940" spans="3:4" ht="12.75" customHeight="1" x14ac:dyDescent="0.15">
      <c r="C940" s="3"/>
      <c r="D940" s="3"/>
    </row>
    <row r="941" spans="3:4" ht="12.75" customHeight="1" x14ac:dyDescent="0.15">
      <c r="C941" s="3"/>
      <c r="D941" s="3"/>
    </row>
    <row r="942" spans="3:4" ht="12.75" customHeight="1" x14ac:dyDescent="0.15">
      <c r="C942" s="3"/>
      <c r="D942" s="3"/>
    </row>
    <row r="943" spans="3:4" ht="12.75" customHeight="1" x14ac:dyDescent="0.15">
      <c r="C943" s="3"/>
      <c r="D943" s="3"/>
    </row>
    <row r="944" spans="3:4" ht="12.75" customHeight="1" x14ac:dyDescent="0.15">
      <c r="C944" s="3"/>
      <c r="D944" s="3"/>
    </row>
    <row r="945" spans="3:4" ht="12.75" customHeight="1" x14ac:dyDescent="0.15">
      <c r="C945" s="3"/>
      <c r="D945" s="3"/>
    </row>
    <row r="946" spans="3:4" ht="12.75" customHeight="1" x14ac:dyDescent="0.15">
      <c r="C946" s="3"/>
      <c r="D946" s="3"/>
    </row>
    <row r="947" spans="3:4" ht="12.75" customHeight="1" x14ac:dyDescent="0.15">
      <c r="C947" s="3"/>
      <c r="D947" s="3"/>
    </row>
    <row r="948" spans="3:4" ht="12.75" customHeight="1" x14ac:dyDescent="0.15">
      <c r="C948" s="3"/>
      <c r="D948" s="3"/>
    </row>
    <row r="949" spans="3:4" ht="12.75" customHeight="1" x14ac:dyDescent="0.15">
      <c r="C949" s="3"/>
      <c r="D949" s="3"/>
    </row>
    <row r="950" spans="3:4" ht="12.75" customHeight="1" x14ac:dyDescent="0.15">
      <c r="C950" s="3"/>
      <c r="D950" s="3"/>
    </row>
    <row r="951" spans="3:4" ht="12.75" customHeight="1" x14ac:dyDescent="0.15">
      <c r="C951" s="3"/>
      <c r="D951" s="3"/>
    </row>
    <row r="952" spans="3:4" ht="12.75" customHeight="1" x14ac:dyDescent="0.15">
      <c r="C952" s="3"/>
      <c r="D952" s="3"/>
    </row>
    <row r="953" spans="3:4" ht="12.75" customHeight="1" x14ac:dyDescent="0.15">
      <c r="C953" s="3"/>
      <c r="D953" s="3"/>
    </row>
    <row r="954" spans="3:4" ht="12.75" customHeight="1" x14ac:dyDescent="0.15">
      <c r="C954" s="3"/>
      <c r="D954" s="3"/>
    </row>
    <row r="955" spans="3:4" ht="12.75" customHeight="1" x14ac:dyDescent="0.15">
      <c r="C955" s="3"/>
      <c r="D955" s="3"/>
    </row>
    <row r="956" spans="3:4" ht="12.75" customHeight="1" x14ac:dyDescent="0.15">
      <c r="C956" s="3"/>
      <c r="D956" s="3"/>
    </row>
    <row r="957" spans="3:4" ht="12.75" customHeight="1" x14ac:dyDescent="0.15">
      <c r="C957" s="3"/>
      <c r="D957" s="3"/>
    </row>
    <row r="958" spans="3:4" ht="12.75" customHeight="1" x14ac:dyDescent="0.15">
      <c r="C958" s="3"/>
      <c r="D958" s="3"/>
    </row>
    <row r="959" spans="3:4" ht="12.75" customHeight="1" x14ac:dyDescent="0.15">
      <c r="C959" s="3"/>
      <c r="D959" s="3"/>
    </row>
    <row r="960" spans="3:4" ht="12.75" customHeight="1" x14ac:dyDescent="0.15">
      <c r="C960" s="3"/>
      <c r="D960" s="3"/>
    </row>
    <row r="961" spans="3:4" ht="12.75" customHeight="1" x14ac:dyDescent="0.15">
      <c r="C961" s="3"/>
      <c r="D961" s="3"/>
    </row>
    <row r="962" spans="3:4" ht="12.75" customHeight="1" x14ac:dyDescent="0.15">
      <c r="C962" s="3"/>
      <c r="D962" s="3"/>
    </row>
    <row r="963" spans="3:4" ht="12.75" customHeight="1" x14ac:dyDescent="0.15">
      <c r="C963" s="3"/>
      <c r="D963" s="3"/>
    </row>
    <row r="964" spans="3:4" ht="12.75" customHeight="1" x14ac:dyDescent="0.15">
      <c r="C964" s="3"/>
      <c r="D964" s="3"/>
    </row>
    <row r="965" spans="3:4" ht="12.75" customHeight="1" x14ac:dyDescent="0.15">
      <c r="C965" s="3"/>
      <c r="D965" s="3"/>
    </row>
    <row r="966" spans="3:4" ht="12.75" customHeight="1" x14ac:dyDescent="0.15">
      <c r="C966" s="3"/>
      <c r="D966" s="3"/>
    </row>
    <row r="967" spans="3:4" ht="12.75" customHeight="1" x14ac:dyDescent="0.15">
      <c r="C967" s="3"/>
      <c r="D967" s="3"/>
    </row>
    <row r="968" spans="3:4" ht="12.75" customHeight="1" x14ac:dyDescent="0.15">
      <c r="C968" s="3"/>
      <c r="D968" s="3"/>
    </row>
    <row r="969" spans="3:4" ht="12.75" customHeight="1" x14ac:dyDescent="0.15">
      <c r="C969" s="3"/>
      <c r="D969" s="3"/>
    </row>
    <row r="970" spans="3:4" ht="12.75" customHeight="1" x14ac:dyDescent="0.15">
      <c r="C970" s="3"/>
      <c r="D970" s="3"/>
    </row>
    <row r="971" spans="3:4" ht="12.75" customHeight="1" x14ac:dyDescent="0.15">
      <c r="C971" s="3"/>
      <c r="D971" s="3"/>
    </row>
    <row r="972" spans="3:4" ht="12.75" customHeight="1" x14ac:dyDescent="0.15">
      <c r="C972" s="3"/>
      <c r="D972" s="3"/>
    </row>
    <row r="973" spans="3:4" ht="12.75" customHeight="1" x14ac:dyDescent="0.15">
      <c r="C973" s="3"/>
      <c r="D973" s="3"/>
    </row>
    <row r="974" spans="3:4" ht="12.75" customHeight="1" x14ac:dyDescent="0.15">
      <c r="C974" s="3"/>
      <c r="D974" s="3"/>
    </row>
    <row r="975" spans="3:4" ht="12.75" customHeight="1" x14ac:dyDescent="0.15">
      <c r="C975" s="3"/>
      <c r="D975" s="3"/>
    </row>
    <row r="976" spans="3:4" ht="12.75" customHeight="1" x14ac:dyDescent="0.15">
      <c r="C976" s="3"/>
      <c r="D976" s="3"/>
    </row>
    <row r="977" spans="3:4" ht="12.75" customHeight="1" x14ac:dyDescent="0.15">
      <c r="C977" s="3"/>
      <c r="D977" s="3"/>
    </row>
    <row r="978" spans="3:4" ht="12.75" customHeight="1" x14ac:dyDescent="0.15">
      <c r="C978" s="3"/>
      <c r="D978" s="3"/>
    </row>
    <row r="979" spans="3:4" ht="12.75" customHeight="1" x14ac:dyDescent="0.15">
      <c r="C979" s="3"/>
      <c r="D979" s="3"/>
    </row>
    <row r="980" spans="3:4" ht="12.75" customHeight="1" x14ac:dyDescent="0.15">
      <c r="C980" s="3"/>
      <c r="D980" s="3"/>
    </row>
    <row r="981" spans="3:4" ht="12.75" customHeight="1" x14ac:dyDescent="0.15">
      <c r="C981" s="3"/>
      <c r="D981" s="3"/>
    </row>
    <row r="982" spans="3:4" ht="12.75" customHeight="1" x14ac:dyDescent="0.15">
      <c r="C982" s="3"/>
      <c r="D982" s="3"/>
    </row>
    <row r="983" spans="3:4" ht="12.75" customHeight="1" x14ac:dyDescent="0.15">
      <c r="C983" s="3"/>
      <c r="D983" s="3"/>
    </row>
    <row r="984" spans="3:4" ht="12.75" customHeight="1" x14ac:dyDescent="0.15">
      <c r="C984" s="3"/>
      <c r="D984" s="3"/>
    </row>
    <row r="985" spans="3:4" ht="12.75" customHeight="1" x14ac:dyDescent="0.15">
      <c r="C985" s="3"/>
      <c r="D985" s="3"/>
    </row>
    <row r="986" spans="3:4" ht="12.75" customHeight="1" x14ac:dyDescent="0.15">
      <c r="C986" s="3"/>
      <c r="D986" s="3"/>
    </row>
    <row r="987" spans="3:4" ht="12.75" customHeight="1" x14ac:dyDescent="0.15">
      <c r="C987" s="3"/>
      <c r="D987" s="3"/>
    </row>
    <row r="988" spans="3:4" ht="12.75" customHeight="1" x14ac:dyDescent="0.15">
      <c r="C988" s="3"/>
      <c r="D988" s="3"/>
    </row>
    <row r="989" spans="3:4" ht="12.75" customHeight="1" x14ac:dyDescent="0.15">
      <c r="C989" s="3"/>
      <c r="D989" s="3"/>
    </row>
    <row r="990" spans="3:4" ht="12.75" customHeight="1" x14ac:dyDescent="0.15">
      <c r="C990" s="3"/>
      <c r="D990" s="3"/>
    </row>
    <row r="991" spans="3:4" ht="12.75" customHeight="1" x14ac:dyDescent="0.15">
      <c r="C991" s="3"/>
      <c r="D991" s="3"/>
    </row>
    <row r="992" spans="3:4" ht="12.75" customHeight="1" x14ac:dyDescent="0.15">
      <c r="C992" s="3"/>
      <c r="D992" s="3"/>
    </row>
    <row r="993" spans="3:4" ht="12.75" customHeight="1" x14ac:dyDescent="0.15">
      <c r="C993" s="3"/>
      <c r="D993" s="3"/>
    </row>
    <row r="994" spans="3:4" ht="12.75" customHeight="1" x14ac:dyDescent="0.15">
      <c r="C994" s="3"/>
      <c r="D994" s="3"/>
    </row>
    <row r="995" spans="3:4" ht="12.75" customHeight="1" x14ac:dyDescent="0.15">
      <c r="C995" s="3"/>
      <c r="D995" s="3"/>
    </row>
    <row r="996" spans="3:4" ht="12.75" customHeight="1" x14ac:dyDescent="0.15">
      <c r="C996" s="3"/>
      <c r="D996" s="3"/>
    </row>
    <row r="997" spans="3:4" ht="12.75" customHeight="1" x14ac:dyDescent="0.15">
      <c r="C997" s="3"/>
      <c r="D997" s="3"/>
    </row>
    <row r="998" spans="3:4" ht="12.75" customHeight="1" x14ac:dyDescent="0.15">
      <c r="C998" s="3"/>
      <c r="D998" s="3"/>
    </row>
    <row r="999" spans="3:4" ht="12.75" customHeight="1" x14ac:dyDescent="0.15">
      <c r="C999" s="3"/>
      <c r="D999" s="3"/>
    </row>
    <row r="1000" spans="3:4" ht="12.75" customHeight="1" x14ac:dyDescent="0.15">
      <c r="C1000" s="3"/>
      <c r="D1000" s="3"/>
    </row>
    <row r="1001" spans="3:4" ht="12.75" customHeight="1" x14ac:dyDescent="0.15">
      <c r="C1001" s="3"/>
      <c r="D1001" s="3"/>
    </row>
    <row r="1002" spans="3:4" ht="12.75" customHeight="1" x14ac:dyDescent="0.15">
      <c r="C1002" s="3"/>
      <c r="D1002" s="3"/>
    </row>
    <row r="1003" spans="3:4" ht="12.75" customHeight="1" x14ac:dyDescent="0.15">
      <c r="C1003" s="3"/>
      <c r="D1003" s="3"/>
    </row>
    <row r="1004" spans="3:4" ht="12.75" customHeight="1" x14ac:dyDescent="0.15">
      <c r="C1004" s="3"/>
      <c r="D1004" s="3"/>
    </row>
    <row r="1005" spans="3:4" ht="12.75" customHeight="1" x14ac:dyDescent="0.15">
      <c r="C1005" s="3"/>
      <c r="D1005" s="3"/>
    </row>
    <row r="1006" spans="3:4" ht="12.75" customHeight="1" x14ac:dyDescent="0.15">
      <c r="C1006" s="3"/>
      <c r="D1006" s="3"/>
    </row>
    <row r="1007" spans="3:4" ht="12.75" customHeight="1" x14ac:dyDescent="0.15">
      <c r="C1007" s="3"/>
      <c r="D1007" s="3"/>
    </row>
    <row r="1008" spans="3:4" ht="12.75" customHeight="1" x14ac:dyDescent="0.15">
      <c r="C1008" s="3"/>
      <c r="D1008" s="3"/>
    </row>
    <row r="1009" spans="3:4" ht="12.75" customHeight="1" x14ac:dyDescent="0.15">
      <c r="C1009" s="3"/>
      <c r="D1009" s="3"/>
    </row>
    <row r="1010" spans="3:4" ht="12.75" customHeight="1" x14ac:dyDescent="0.15">
      <c r="C1010" s="3"/>
      <c r="D1010" s="3"/>
    </row>
    <row r="1011" spans="3:4" ht="12.75" customHeight="1" x14ac:dyDescent="0.15">
      <c r="C1011" s="3"/>
      <c r="D1011" s="3"/>
    </row>
    <row r="1012" spans="3:4" ht="12.75" customHeight="1" x14ac:dyDescent="0.15">
      <c r="C1012" s="3"/>
      <c r="D1012" s="3"/>
    </row>
    <row r="1013" spans="3:4" ht="12.75" customHeight="1" x14ac:dyDescent="0.15">
      <c r="C1013" s="3"/>
      <c r="D1013" s="3"/>
    </row>
    <row r="1014" spans="3:4" ht="12.75" customHeight="1" x14ac:dyDescent="0.15">
      <c r="C1014" s="3"/>
      <c r="D1014" s="3"/>
    </row>
    <row r="1015" spans="3:4" ht="12.75" customHeight="1" x14ac:dyDescent="0.15">
      <c r="C1015" s="3"/>
      <c r="D1015" s="3"/>
    </row>
    <row r="1016" spans="3:4" ht="12.75" customHeight="1" x14ac:dyDescent="0.15">
      <c r="C1016" s="3"/>
      <c r="D1016" s="3"/>
    </row>
    <row r="1017" spans="3:4" ht="12.75" customHeight="1" x14ac:dyDescent="0.15">
      <c r="C1017" s="3"/>
      <c r="D1017" s="3"/>
    </row>
    <row r="1018" spans="3:4" ht="12.75" customHeight="1" x14ac:dyDescent="0.15">
      <c r="C1018" s="3"/>
      <c r="D1018" s="3"/>
    </row>
    <row r="1019" spans="3:4" ht="12.75" customHeight="1" x14ac:dyDescent="0.15">
      <c r="C1019" s="3"/>
      <c r="D1019" s="3"/>
    </row>
    <row r="1020" spans="3:4" ht="12.75" customHeight="1" x14ac:dyDescent="0.15">
      <c r="C1020" s="3"/>
      <c r="D1020" s="3"/>
    </row>
    <row r="1021" spans="3:4" ht="12.75" customHeight="1" x14ac:dyDescent="0.15">
      <c r="C1021" s="3"/>
      <c r="D1021" s="3"/>
    </row>
    <row r="1022" spans="3:4" ht="12.75" customHeight="1" x14ac:dyDescent="0.15">
      <c r="C1022" s="3"/>
      <c r="D1022" s="3"/>
    </row>
    <row r="1023" spans="3:4" ht="12.75" customHeight="1" x14ac:dyDescent="0.15">
      <c r="C1023" s="3"/>
      <c r="D1023" s="3"/>
    </row>
    <row r="1024" spans="3:4" ht="12.75" customHeight="1" x14ac:dyDescent="0.15">
      <c r="C1024" s="3"/>
      <c r="D1024" s="3"/>
    </row>
    <row r="1025" spans="3:4" ht="12.75" customHeight="1" x14ac:dyDescent="0.15">
      <c r="C1025" s="3"/>
      <c r="D1025" s="3"/>
    </row>
    <row r="1026" spans="3:4" ht="12.75" customHeight="1" x14ac:dyDescent="0.15">
      <c r="C1026" s="3"/>
      <c r="D1026" s="3"/>
    </row>
    <row r="1027" spans="3:4" ht="12.75" customHeight="1" x14ac:dyDescent="0.15">
      <c r="C1027" s="3"/>
      <c r="D1027" s="3"/>
    </row>
    <row r="1028" spans="3:4" ht="12.75" customHeight="1" x14ac:dyDescent="0.15">
      <c r="C1028" s="3"/>
      <c r="D1028" s="3"/>
    </row>
    <row r="1029" spans="3:4" ht="12.75" customHeight="1" x14ac:dyDescent="0.15">
      <c r="C1029" s="3"/>
      <c r="D1029" s="3"/>
    </row>
    <row r="1030" spans="3:4" ht="12.75" customHeight="1" x14ac:dyDescent="0.15">
      <c r="C1030" s="3"/>
      <c r="D1030" s="3"/>
    </row>
    <row r="1031" spans="3:4" ht="12.75" customHeight="1" x14ac:dyDescent="0.15">
      <c r="C1031" s="3"/>
      <c r="D1031" s="3"/>
    </row>
    <row r="1032" spans="3:4" ht="12.75" customHeight="1" x14ac:dyDescent="0.15">
      <c r="C1032" s="3"/>
      <c r="D1032" s="3"/>
    </row>
    <row r="1033" spans="3:4" ht="12.75" customHeight="1" x14ac:dyDescent="0.15">
      <c r="C1033" s="3"/>
      <c r="D1033" s="3"/>
    </row>
    <row r="1034" spans="3:4" ht="12.75" customHeight="1" x14ac:dyDescent="0.15">
      <c r="C1034" s="3"/>
      <c r="D1034" s="3"/>
    </row>
    <row r="1035" spans="3:4" ht="12.75" customHeight="1" x14ac:dyDescent="0.15">
      <c r="C1035" s="3"/>
      <c r="D1035" s="3"/>
    </row>
    <row r="1036" spans="3:4" ht="12.75" customHeight="1" x14ac:dyDescent="0.15">
      <c r="C1036" s="3"/>
      <c r="D1036" s="3"/>
    </row>
    <row r="1037" spans="3:4" ht="12.75" customHeight="1" x14ac:dyDescent="0.15">
      <c r="C1037" s="3"/>
      <c r="D1037" s="3"/>
    </row>
    <row r="1038" spans="3:4" ht="12.75" customHeight="1" x14ac:dyDescent="0.15">
      <c r="C1038" s="3"/>
      <c r="D1038" s="3"/>
    </row>
    <row r="1039" spans="3:4" ht="12.75" customHeight="1" x14ac:dyDescent="0.15">
      <c r="C1039" s="3"/>
      <c r="D1039" s="3"/>
    </row>
    <row r="1040" spans="3:4" ht="12.75" customHeight="1" x14ac:dyDescent="0.15">
      <c r="C1040" s="3"/>
      <c r="D1040" s="3"/>
    </row>
    <row r="1041" spans="3:4" ht="12.75" customHeight="1" x14ac:dyDescent="0.15">
      <c r="C1041" s="3"/>
      <c r="D1041" s="3"/>
    </row>
    <row r="1042" spans="3:4" ht="12.75" customHeight="1" x14ac:dyDescent="0.15">
      <c r="C1042" s="3"/>
      <c r="D1042" s="3"/>
    </row>
    <row r="1043" spans="3:4" ht="12.75" customHeight="1" x14ac:dyDescent="0.15">
      <c r="C1043" s="3"/>
      <c r="D1043" s="3"/>
    </row>
    <row r="1044" spans="3:4" ht="12.75" customHeight="1" x14ac:dyDescent="0.15">
      <c r="C1044" s="3"/>
      <c r="D1044" s="3"/>
    </row>
    <row r="1045" spans="3:4" ht="12.75" customHeight="1" x14ac:dyDescent="0.15">
      <c r="C1045" s="3"/>
      <c r="D1045" s="3"/>
    </row>
    <row r="1046" spans="3:4" ht="12.75" customHeight="1" x14ac:dyDescent="0.15">
      <c r="C1046" s="3"/>
      <c r="D1046" s="3"/>
    </row>
    <row r="1047" spans="3:4" ht="12.75" customHeight="1" x14ac:dyDescent="0.15">
      <c r="C1047" s="3"/>
      <c r="D1047" s="3"/>
    </row>
    <row r="1048" spans="3:4" ht="12.75" customHeight="1" x14ac:dyDescent="0.15">
      <c r="C1048" s="3"/>
      <c r="D1048" s="3"/>
    </row>
    <row r="1049" spans="3:4" ht="12.75" customHeight="1" x14ac:dyDescent="0.15">
      <c r="C1049" s="3"/>
      <c r="D1049" s="3"/>
    </row>
    <row r="1050" spans="3:4" ht="12.75" customHeight="1" x14ac:dyDescent="0.15">
      <c r="C1050" s="3"/>
      <c r="D1050" s="3"/>
    </row>
    <row r="1051" spans="3:4" ht="12.75" customHeight="1" x14ac:dyDescent="0.15">
      <c r="C1051" s="3"/>
      <c r="D1051" s="3"/>
    </row>
    <row r="1052" spans="3:4" ht="12.75" customHeight="1" x14ac:dyDescent="0.15">
      <c r="C1052" s="3"/>
      <c r="D1052" s="3"/>
    </row>
    <row r="1053" spans="3:4" ht="12.75" customHeight="1" x14ac:dyDescent="0.15">
      <c r="C1053" s="3"/>
      <c r="D1053" s="3"/>
    </row>
    <row r="1054" spans="3:4" ht="12.75" customHeight="1" x14ac:dyDescent="0.15">
      <c r="C1054" s="3"/>
      <c r="D1054" s="3"/>
    </row>
    <row r="1055" spans="3:4" ht="12.75" customHeight="1" x14ac:dyDescent="0.15">
      <c r="C1055" s="3"/>
      <c r="D1055" s="3"/>
    </row>
    <row r="1056" spans="3:4" ht="12.75" customHeight="1" x14ac:dyDescent="0.15">
      <c r="C1056" s="3"/>
      <c r="D1056" s="3"/>
    </row>
    <row r="1057" spans="3:4" ht="12.75" customHeight="1" x14ac:dyDescent="0.15">
      <c r="C1057" s="3"/>
      <c r="D1057" s="3"/>
    </row>
    <row r="1058" spans="3:4" ht="12.75" customHeight="1" x14ac:dyDescent="0.15">
      <c r="C1058" s="3"/>
      <c r="D1058" s="3"/>
    </row>
    <row r="1059" spans="3:4" ht="12.75" customHeight="1" x14ac:dyDescent="0.15">
      <c r="C1059" s="3"/>
      <c r="D1059" s="3"/>
    </row>
    <row r="1060" spans="3:4" ht="12.75" customHeight="1" x14ac:dyDescent="0.15">
      <c r="C1060" s="3"/>
      <c r="D1060" s="3"/>
    </row>
    <row r="1061" spans="3:4" ht="12.75" customHeight="1" x14ac:dyDescent="0.15">
      <c r="C1061" s="3"/>
      <c r="D1061" s="3"/>
    </row>
    <row r="1062" spans="3:4" ht="12.75" customHeight="1" x14ac:dyDescent="0.15">
      <c r="C1062" s="3"/>
      <c r="D1062" s="3"/>
    </row>
    <row r="1063" spans="3:4" ht="12.75" customHeight="1" x14ac:dyDescent="0.15">
      <c r="C1063" s="3"/>
      <c r="D1063" s="3"/>
    </row>
    <row r="1064" spans="3:4" ht="12.75" customHeight="1" x14ac:dyDescent="0.15">
      <c r="C1064" s="3"/>
      <c r="D1064" s="3"/>
    </row>
    <row r="1065" spans="3:4" ht="12.75" customHeight="1" x14ac:dyDescent="0.15">
      <c r="C1065" s="3"/>
      <c r="D1065" s="3"/>
    </row>
    <row r="1066" spans="3:4" ht="12.75" customHeight="1" x14ac:dyDescent="0.15">
      <c r="C1066" s="3"/>
      <c r="D1066" s="3"/>
    </row>
    <row r="1067" spans="3:4" ht="12.75" customHeight="1" x14ac:dyDescent="0.15">
      <c r="C1067" s="3"/>
      <c r="D1067" s="3"/>
    </row>
    <row r="1068" spans="3:4" ht="12.75" customHeight="1" x14ac:dyDescent="0.15">
      <c r="C1068" s="3"/>
      <c r="D1068" s="3"/>
    </row>
    <row r="1069" spans="3:4" ht="12.75" customHeight="1" x14ac:dyDescent="0.15">
      <c r="C1069" s="3"/>
      <c r="D1069" s="3"/>
    </row>
    <row r="1070" spans="3:4" ht="12.75" customHeight="1" x14ac:dyDescent="0.15">
      <c r="C1070" s="3"/>
      <c r="D1070" s="3"/>
    </row>
    <row r="1071" spans="3:4" ht="12.75" customHeight="1" x14ac:dyDescent="0.15">
      <c r="C1071" s="3"/>
      <c r="D1071" s="3"/>
    </row>
    <row r="1072" spans="3:4" ht="12.75" customHeight="1" x14ac:dyDescent="0.15">
      <c r="C1072" s="3"/>
      <c r="D1072" s="3"/>
    </row>
    <row r="1073" spans="3:4" ht="12.75" customHeight="1" x14ac:dyDescent="0.15">
      <c r="C1073" s="3"/>
      <c r="D1073" s="3"/>
    </row>
    <row r="1074" spans="3:4" ht="12.75" customHeight="1" x14ac:dyDescent="0.15">
      <c r="C1074" s="3"/>
      <c r="D1074" s="3"/>
    </row>
    <row r="1075" spans="3:4" ht="12.75" customHeight="1" x14ac:dyDescent="0.15">
      <c r="C1075" s="3"/>
      <c r="D1075" s="3"/>
    </row>
    <row r="1076" spans="3:4" ht="12.75" customHeight="1" x14ac:dyDescent="0.15">
      <c r="C1076" s="3"/>
      <c r="D1076" s="3"/>
    </row>
    <row r="1077" spans="3:4" ht="12.75" customHeight="1" x14ac:dyDescent="0.15">
      <c r="C1077" s="3"/>
      <c r="D1077" s="3"/>
    </row>
    <row r="1078" spans="3:4" ht="12.75" customHeight="1" x14ac:dyDescent="0.15">
      <c r="C1078" s="3"/>
      <c r="D1078" s="3"/>
    </row>
    <row r="1079" spans="3:4" ht="12.75" customHeight="1" x14ac:dyDescent="0.15">
      <c r="C1079" s="3"/>
      <c r="D1079" s="3"/>
    </row>
    <row r="1080" spans="3:4" ht="12.75" customHeight="1" x14ac:dyDescent="0.15">
      <c r="C1080" s="3"/>
      <c r="D1080" s="3"/>
    </row>
    <row r="1081" spans="3:4" ht="12.75" customHeight="1" x14ac:dyDescent="0.15">
      <c r="C1081" s="3"/>
      <c r="D1081" s="3"/>
    </row>
    <row r="1082" spans="3:4" ht="12.75" customHeight="1" x14ac:dyDescent="0.15">
      <c r="C1082" s="3"/>
      <c r="D1082" s="3"/>
    </row>
    <row r="1083" spans="3:4" ht="12.75" customHeight="1" x14ac:dyDescent="0.15">
      <c r="C1083" s="3"/>
      <c r="D1083" s="3"/>
    </row>
    <row r="1084" spans="3:4" ht="12.75" customHeight="1" x14ac:dyDescent="0.15">
      <c r="C1084" s="3"/>
      <c r="D1084" s="3"/>
    </row>
    <row r="1085" spans="3:4" ht="12.75" customHeight="1" x14ac:dyDescent="0.15">
      <c r="C1085" s="3"/>
      <c r="D1085" s="3"/>
    </row>
    <row r="1086" spans="3:4" ht="12.75" customHeight="1" x14ac:dyDescent="0.15">
      <c r="C1086" s="3"/>
      <c r="D1086" s="3"/>
    </row>
    <row r="1087" spans="3:4" ht="12.75" customHeight="1" x14ac:dyDescent="0.15">
      <c r="C1087" s="3"/>
      <c r="D1087" s="3"/>
    </row>
    <row r="1088" spans="3:4" ht="12.75" customHeight="1" x14ac:dyDescent="0.15">
      <c r="C1088" s="3"/>
      <c r="D1088" s="3"/>
    </row>
    <row r="1089" spans="3:4" ht="12.75" customHeight="1" x14ac:dyDescent="0.15">
      <c r="C1089" s="3"/>
      <c r="D1089" s="3"/>
    </row>
    <row r="1090" spans="3:4" ht="12.75" customHeight="1" x14ac:dyDescent="0.15">
      <c r="C1090" s="3"/>
      <c r="D1090" s="3"/>
    </row>
    <row r="1091" spans="3:4" ht="12.75" customHeight="1" x14ac:dyDescent="0.15">
      <c r="C1091" s="3"/>
      <c r="D1091" s="3"/>
    </row>
    <row r="1092" spans="3:4" ht="12.75" customHeight="1" x14ac:dyDescent="0.15">
      <c r="C1092" s="3"/>
      <c r="D1092" s="3"/>
    </row>
    <row r="1093" spans="3:4" ht="12.75" customHeight="1" x14ac:dyDescent="0.15">
      <c r="C1093" s="3"/>
      <c r="D1093" s="3"/>
    </row>
    <row r="1094" spans="3:4" ht="12.75" customHeight="1" x14ac:dyDescent="0.15">
      <c r="C1094" s="3"/>
      <c r="D1094" s="3"/>
    </row>
    <row r="1095" spans="3:4" ht="12.75" customHeight="1" x14ac:dyDescent="0.15">
      <c r="C1095" s="3"/>
      <c r="D1095" s="3"/>
    </row>
    <row r="1096" spans="3:4" ht="12.75" customHeight="1" x14ac:dyDescent="0.15">
      <c r="C1096" s="3"/>
      <c r="D1096" s="3"/>
    </row>
    <row r="1097" spans="3:4" ht="12.75" customHeight="1" x14ac:dyDescent="0.15">
      <c r="C1097" s="3"/>
      <c r="D1097" s="3"/>
    </row>
    <row r="1098" spans="3:4" ht="12.75" customHeight="1" x14ac:dyDescent="0.15">
      <c r="C1098" s="3"/>
      <c r="D1098" s="3"/>
    </row>
    <row r="1099" spans="3:4" ht="12.75" customHeight="1" x14ac:dyDescent="0.15">
      <c r="C1099" s="3"/>
      <c r="D1099" s="3"/>
    </row>
    <row r="1100" spans="3:4" ht="12.75" customHeight="1" x14ac:dyDescent="0.15">
      <c r="C1100" s="3"/>
      <c r="D1100" s="3"/>
    </row>
    <row r="1101" spans="3:4" ht="12.75" customHeight="1" x14ac:dyDescent="0.15">
      <c r="C1101" s="3"/>
      <c r="D1101" s="3"/>
    </row>
    <row r="1102" spans="3:4" ht="12.75" customHeight="1" x14ac:dyDescent="0.15">
      <c r="C1102" s="3"/>
      <c r="D1102" s="3"/>
    </row>
    <row r="1103" spans="3:4" ht="12.75" customHeight="1" x14ac:dyDescent="0.15">
      <c r="C1103" s="3"/>
      <c r="D1103" s="3"/>
    </row>
    <row r="1104" spans="3:4" ht="12.75" customHeight="1" x14ac:dyDescent="0.15">
      <c r="C1104" s="3"/>
      <c r="D1104" s="3"/>
    </row>
    <row r="1105" spans="3:4" ht="12.75" customHeight="1" x14ac:dyDescent="0.15">
      <c r="C1105" s="3"/>
      <c r="D1105" s="3"/>
    </row>
    <row r="1106" spans="3:4" ht="12.75" customHeight="1" x14ac:dyDescent="0.15">
      <c r="C1106" s="3"/>
      <c r="D1106" s="3"/>
    </row>
    <row r="1107" spans="3:4" ht="12.75" customHeight="1" x14ac:dyDescent="0.15">
      <c r="C1107" s="3"/>
      <c r="D1107" s="3"/>
    </row>
    <row r="1108" spans="3:4" ht="12.75" customHeight="1" x14ac:dyDescent="0.15">
      <c r="C1108" s="3"/>
      <c r="D1108" s="3"/>
    </row>
    <row r="1109" spans="3:4" ht="12.75" customHeight="1" x14ac:dyDescent="0.15">
      <c r="C1109" s="3"/>
      <c r="D1109" s="3"/>
    </row>
    <row r="1110" spans="3:4" ht="12.75" customHeight="1" x14ac:dyDescent="0.15">
      <c r="C1110" s="3"/>
      <c r="D1110" s="3"/>
    </row>
    <row r="1111" spans="3:4" ht="12.75" customHeight="1" x14ac:dyDescent="0.15">
      <c r="C1111" s="3"/>
      <c r="D1111" s="3"/>
    </row>
    <row r="1112" spans="3:4" ht="12.75" customHeight="1" x14ac:dyDescent="0.15">
      <c r="C1112" s="3"/>
      <c r="D1112" s="3"/>
    </row>
    <row r="1113" spans="3:4" ht="12.75" customHeight="1" x14ac:dyDescent="0.15">
      <c r="C1113" s="3"/>
      <c r="D1113" s="3"/>
    </row>
    <row r="1114" spans="3:4" ht="12.75" customHeight="1" x14ac:dyDescent="0.15">
      <c r="C1114" s="3"/>
      <c r="D1114" s="3"/>
    </row>
    <row r="1115" spans="3:4" ht="12.75" customHeight="1" x14ac:dyDescent="0.15">
      <c r="C1115" s="3"/>
      <c r="D1115" s="3"/>
    </row>
    <row r="1116" spans="3:4" ht="12.75" customHeight="1" x14ac:dyDescent="0.15">
      <c r="C1116" s="3"/>
      <c r="D1116" s="3"/>
    </row>
    <row r="1117" spans="3:4" ht="12.75" customHeight="1" x14ac:dyDescent="0.15">
      <c r="C1117" s="3"/>
      <c r="D1117" s="3"/>
    </row>
    <row r="1118" spans="3:4" ht="12.75" customHeight="1" x14ac:dyDescent="0.15">
      <c r="C1118" s="3"/>
      <c r="D1118" s="3"/>
    </row>
    <row r="1119" spans="3:4" ht="12.75" customHeight="1" x14ac:dyDescent="0.15">
      <c r="C1119" s="3"/>
      <c r="D1119" s="3"/>
    </row>
    <row r="1120" spans="3:4" ht="12.75" customHeight="1" x14ac:dyDescent="0.15">
      <c r="C1120" s="3"/>
      <c r="D1120" s="3"/>
    </row>
    <row r="1121" spans="3:4" ht="12.75" customHeight="1" x14ac:dyDescent="0.15">
      <c r="C1121" s="3"/>
      <c r="D1121" s="3"/>
    </row>
    <row r="1122" spans="3:4" ht="12.75" customHeight="1" x14ac:dyDescent="0.15">
      <c r="C1122" s="3"/>
      <c r="D1122" s="3"/>
    </row>
    <row r="1123" spans="3:4" ht="12.75" customHeight="1" x14ac:dyDescent="0.15">
      <c r="C1123" s="3"/>
      <c r="D1123" s="3"/>
    </row>
    <row r="1124" spans="3:4" ht="12.75" customHeight="1" x14ac:dyDescent="0.15">
      <c r="C1124" s="3"/>
      <c r="D1124" s="3"/>
    </row>
    <row r="1125" spans="3:4" ht="12.75" customHeight="1" x14ac:dyDescent="0.15">
      <c r="C1125" s="3"/>
      <c r="D1125" s="3"/>
    </row>
    <row r="1126" spans="3:4" ht="12.75" customHeight="1" x14ac:dyDescent="0.15">
      <c r="C1126" s="3"/>
      <c r="D1126" s="3"/>
    </row>
    <row r="1127" spans="3:4" ht="12.75" customHeight="1" x14ac:dyDescent="0.15">
      <c r="C1127" s="3"/>
      <c r="D1127" s="3"/>
    </row>
    <row r="1128" spans="3:4" ht="12.75" customHeight="1" x14ac:dyDescent="0.15">
      <c r="C1128" s="3"/>
      <c r="D1128" s="3"/>
    </row>
    <row r="1129" spans="3:4" ht="12.75" customHeight="1" x14ac:dyDescent="0.15">
      <c r="C1129" s="3"/>
      <c r="D1129" s="3"/>
    </row>
    <row r="1130" spans="3:4" ht="12.75" customHeight="1" x14ac:dyDescent="0.15">
      <c r="C1130" s="3"/>
      <c r="D1130" s="3"/>
    </row>
    <row r="1131" spans="3:4" ht="12.75" customHeight="1" x14ac:dyDescent="0.15">
      <c r="C1131" s="3"/>
      <c r="D1131" s="3"/>
    </row>
    <row r="1132" spans="3:4" ht="12.75" customHeight="1" x14ac:dyDescent="0.15">
      <c r="C1132" s="3"/>
      <c r="D1132" s="3"/>
    </row>
    <row r="1133" spans="3:4" ht="12.75" customHeight="1" x14ac:dyDescent="0.15">
      <c r="C1133" s="3"/>
      <c r="D1133" s="3"/>
    </row>
    <row r="1134" spans="3:4" ht="12.75" customHeight="1" x14ac:dyDescent="0.15">
      <c r="C1134" s="3"/>
      <c r="D1134" s="3"/>
    </row>
    <row r="1135" spans="3:4" ht="12.75" customHeight="1" x14ac:dyDescent="0.15">
      <c r="C1135" s="3"/>
      <c r="D1135" s="3"/>
    </row>
    <row r="1136" spans="3:4" ht="12.75" customHeight="1" x14ac:dyDescent="0.15">
      <c r="C1136" s="3"/>
      <c r="D1136" s="3"/>
    </row>
    <row r="1137" spans="3:4" ht="12.75" customHeight="1" x14ac:dyDescent="0.15">
      <c r="C1137" s="3"/>
      <c r="D1137" s="3"/>
    </row>
    <row r="1138" spans="3:4" ht="12.75" customHeight="1" x14ac:dyDescent="0.15">
      <c r="C1138" s="3"/>
      <c r="D1138" s="3"/>
    </row>
    <row r="1139" spans="3:4" ht="12.75" customHeight="1" x14ac:dyDescent="0.15">
      <c r="C1139" s="3"/>
      <c r="D1139" s="3"/>
    </row>
    <row r="1140" spans="3:4" ht="12.75" customHeight="1" x14ac:dyDescent="0.15">
      <c r="C1140" s="3"/>
      <c r="D1140" s="3"/>
    </row>
    <row r="1141" spans="3:4" ht="12.75" customHeight="1" x14ac:dyDescent="0.15">
      <c r="C1141" s="3"/>
      <c r="D1141" s="3"/>
    </row>
    <row r="1142" spans="3:4" ht="12.75" customHeight="1" x14ac:dyDescent="0.15">
      <c r="C1142" s="3"/>
      <c r="D1142" s="3"/>
    </row>
    <row r="1143" spans="3:4" ht="12.75" customHeight="1" x14ac:dyDescent="0.15">
      <c r="C1143" s="3"/>
      <c r="D1143" s="3"/>
    </row>
    <row r="1144" spans="3:4" ht="12.75" customHeight="1" x14ac:dyDescent="0.15">
      <c r="C1144" s="3"/>
      <c r="D1144" s="3"/>
    </row>
    <row r="1145" spans="3:4" ht="12.75" customHeight="1" x14ac:dyDescent="0.15">
      <c r="C1145" s="3"/>
      <c r="D1145" s="3"/>
    </row>
    <row r="1146" spans="3:4" ht="12.75" customHeight="1" x14ac:dyDescent="0.15">
      <c r="C1146" s="3"/>
      <c r="D1146" s="3"/>
    </row>
    <row r="1147" spans="3:4" ht="12.75" customHeight="1" x14ac:dyDescent="0.15">
      <c r="C1147" s="3"/>
      <c r="D1147" s="3"/>
    </row>
    <row r="1148" spans="3:4" ht="12.75" customHeight="1" x14ac:dyDescent="0.15">
      <c r="C1148" s="3"/>
      <c r="D1148" s="3"/>
    </row>
    <row r="1149" spans="3:4" ht="12.75" customHeight="1" x14ac:dyDescent="0.15">
      <c r="C1149" s="3"/>
      <c r="D1149" s="3"/>
    </row>
    <row r="1150" spans="3:4" ht="12.75" customHeight="1" x14ac:dyDescent="0.15">
      <c r="C1150" s="3"/>
      <c r="D1150" s="3"/>
    </row>
    <row r="1151" spans="3:4" ht="12.75" customHeight="1" x14ac:dyDescent="0.15">
      <c r="C1151" s="3"/>
      <c r="D1151" s="3"/>
    </row>
    <row r="1152" spans="3:4" ht="12.75" customHeight="1" x14ac:dyDescent="0.15">
      <c r="C1152" s="3"/>
      <c r="D1152" s="3"/>
    </row>
    <row r="1153" spans="3:4" ht="12.75" customHeight="1" x14ac:dyDescent="0.15">
      <c r="C1153" s="3"/>
      <c r="D1153" s="3"/>
    </row>
    <row r="1154" spans="3:4" ht="12.75" customHeight="1" x14ac:dyDescent="0.15">
      <c r="C1154" s="3"/>
      <c r="D1154" s="3"/>
    </row>
    <row r="1155" spans="3:4" ht="12.75" customHeight="1" x14ac:dyDescent="0.15">
      <c r="C1155" s="3"/>
      <c r="D1155" s="3"/>
    </row>
    <row r="1156" spans="3:4" ht="12.75" customHeight="1" x14ac:dyDescent="0.15">
      <c r="C1156" s="3"/>
      <c r="D1156" s="3"/>
    </row>
    <row r="1157" spans="3:4" ht="12.75" customHeight="1" x14ac:dyDescent="0.15">
      <c r="C1157" s="3"/>
      <c r="D1157" s="3"/>
    </row>
    <row r="1158" spans="3:4" ht="12.75" customHeight="1" x14ac:dyDescent="0.15">
      <c r="C1158" s="3"/>
      <c r="D1158" s="3"/>
    </row>
    <row r="1159" spans="3:4" ht="12.75" customHeight="1" x14ac:dyDescent="0.15">
      <c r="C1159" s="3"/>
      <c r="D1159" s="3"/>
    </row>
    <row r="1160" spans="3:4" ht="12.75" customHeight="1" x14ac:dyDescent="0.15">
      <c r="C1160" s="3"/>
      <c r="D1160" s="3"/>
    </row>
    <row r="1161" spans="3:4" ht="12.75" customHeight="1" x14ac:dyDescent="0.15">
      <c r="C1161" s="3"/>
      <c r="D1161" s="3"/>
    </row>
    <row r="1162" spans="3:4" ht="12.75" customHeight="1" x14ac:dyDescent="0.15">
      <c r="C1162" s="3"/>
      <c r="D1162" s="3"/>
    </row>
    <row r="1163" spans="3:4" ht="12.75" customHeight="1" x14ac:dyDescent="0.15">
      <c r="C1163" s="3"/>
      <c r="D1163" s="3"/>
    </row>
    <row r="1164" spans="3:4" ht="12.75" customHeight="1" x14ac:dyDescent="0.15">
      <c r="C1164" s="3"/>
      <c r="D1164" s="3"/>
    </row>
    <row r="1165" spans="3:4" ht="12.75" customHeight="1" x14ac:dyDescent="0.15">
      <c r="C1165" s="3"/>
      <c r="D1165" s="3"/>
    </row>
    <row r="1166" spans="3:4" ht="12.75" customHeight="1" x14ac:dyDescent="0.15">
      <c r="C1166" s="3"/>
      <c r="D1166" s="3"/>
    </row>
    <row r="1167" spans="3:4" ht="12.75" customHeight="1" x14ac:dyDescent="0.15">
      <c r="C1167" s="3"/>
      <c r="D1167" s="3"/>
    </row>
    <row r="1168" spans="3:4" ht="12.75" customHeight="1" x14ac:dyDescent="0.15">
      <c r="C1168" s="3"/>
      <c r="D1168" s="3"/>
    </row>
    <row r="1169" spans="3:4" ht="12.75" customHeight="1" x14ac:dyDescent="0.15">
      <c r="C1169" s="3"/>
      <c r="D1169" s="3"/>
    </row>
    <row r="1170" spans="3:4" ht="12.75" customHeight="1" x14ac:dyDescent="0.15">
      <c r="C1170" s="3"/>
      <c r="D1170" s="3"/>
    </row>
    <row r="1171" spans="3:4" ht="12.75" customHeight="1" x14ac:dyDescent="0.15">
      <c r="C1171" s="3"/>
      <c r="D1171" s="3"/>
    </row>
    <row r="1172" spans="3:4" ht="12.75" customHeight="1" x14ac:dyDescent="0.15">
      <c r="C1172" s="3"/>
      <c r="D1172" s="3"/>
    </row>
    <row r="1173" spans="3:4" ht="12.75" customHeight="1" x14ac:dyDescent="0.15">
      <c r="C1173" s="3"/>
      <c r="D1173" s="3"/>
    </row>
    <row r="1174" spans="3:4" ht="12.75" customHeight="1" x14ac:dyDescent="0.15">
      <c r="C1174" s="3"/>
      <c r="D1174" s="3"/>
    </row>
    <row r="1175" spans="3:4" ht="12.75" customHeight="1" x14ac:dyDescent="0.15">
      <c r="C1175" s="3"/>
      <c r="D1175" s="3"/>
    </row>
    <row r="1176" spans="3:4" ht="12.75" customHeight="1" x14ac:dyDescent="0.15">
      <c r="C1176" s="3"/>
      <c r="D1176" s="3"/>
    </row>
    <row r="1177" spans="3:4" ht="12.75" customHeight="1" x14ac:dyDescent="0.15">
      <c r="C1177" s="3"/>
      <c r="D1177" s="3"/>
    </row>
    <row r="1178" spans="3:4" ht="12.75" customHeight="1" x14ac:dyDescent="0.15">
      <c r="C1178" s="3"/>
      <c r="D1178" s="3"/>
    </row>
    <row r="1179" spans="3:4" ht="12.75" customHeight="1" x14ac:dyDescent="0.15">
      <c r="C1179" s="3"/>
      <c r="D1179" s="3"/>
    </row>
    <row r="1180" spans="3:4" ht="12.75" customHeight="1" x14ac:dyDescent="0.15">
      <c r="C1180" s="3"/>
      <c r="D1180" s="3"/>
    </row>
    <row r="1181" spans="3:4" ht="12.75" customHeight="1" x14ac:dyDescent="0.15">
      <c r="C1181" s="3"/>
      <c r="D1181" s="3"/>
    </row>
    <row r="1182" spans="3:4" ht="12.75" customHeight="1" x14ac:dyDescent="0.15">
      <c r="C1182" s="3"/>
      <c r="D1182" s="3"/>
    </row>
    <row r="1183" spans="3:4" ht="12.75" customHeight="1" x14ac:dyDescent="0.15">
      <c r="C1183" s="3"/>
      <c r="D1183" s="3"/>
    </row>
    <row r="1184" spans="3:4" ht="12.75" customHeight="1" x14ac:dyDescent="0.15">
      <c r="C1184" s="3"/>
      <c r="D1184" s="3"/>
    </row>
    <row r="1185" spans="3:4" ht="12.75" customHeight="1" x14ac:dyDescent="0.15">
      <c r="C1185" s="3"/>
      <c r="D1185" s="3"/>
    </row>
    <row r="1186" spans="3:4" ht="12.75" customHeight="1" x14ac:dyDescent="0.15">
      <c r="C1186" s="3"/>
      <c r="D1186" s="3"/>
    </row>
    <row r="1187" spans="3:4" ht="12.75" customHeight="1" x14ac:dyDescent="0.15">
      <c r="C1187" s="3"/>
      <c r="D1187" s="3"/>
    </row>
    <row r="1188" spans="3:4" ht="12.75" customHeight="1" x14ac:dyDescent="0.15">
      <c r="C1188" s="3"/>
      <c r="D1188" s="3"/>
    </row>
    <row r="1189" spans="3:4" ht="12.75" customHeight="1" x14ac:dyDescent="0.15">
      <c r="C1189" s="3"/>
      <c r="D1189" s="3"/>
    </row>
    <row r="1190" spans="3:4" ht="12.75" customHeight="1" x14ac:dyDescent="0.15">
      <c r="C1190" s="3"/>
      <c r="D1190" s="3"/>
    </row>
    <row r="1191" spans="3:4" ht="12.75" customHeight="1" x14ac:dyDescent="0.15">
      <c r="C1191" s="3"/>
      <c r="D1191" s="3"/>
    </row>
    <row r="1192" spans="3:4" ht="12.75" customHeight="1" x14ac:dyDescent="0.15">
      <c r="C1192" s="3"/>
      <c r="D1192" s="3"/>
    </row>
    <row r="1193" spans="3:4" ht="12.75" customHeight="1" x14ac:dyDescent="0.15">
      <c r="C1193" s="3"/>
      <c r="D1193" s="3"/>
    </row>
    <row r="1194" spans="3:4" ht="12.75" customHeight="1" x14ac:dyDescent="0.15">
      <c r="C1194" s="3"/>
      <c r="D1194" s="3"/>
    </row>
    <row r="1195" spans="3:4" ht="12.75" customHeight="1" x14ac:dyDescent="0.15">
      <c r="C1195" s="3"/>
      <c r="D1195" s="3"/>
    </row>
    <row r="1196" spans="3:4" ht="12.75" customHeight="1" x14ac:dyDescent="0.15">
      <c r="C1196" s="3"/>
      <c r="D1196" s="3"/>
    </row>
    <row r="1197" spans="3:4" ht="12.75" customHeight="1" x14ac:dyDescent="0.15">
      <c r="C1197" s="3"/>
      <c r="D1197" s="3"/>
    </row>
    <row r="1198" spans="3:4" ht="12.75" customHeight="1" x14ac:dyDescent="0.15">
      <c r="C1198" s="3"/>
      <c r="D1198" s="3"/>
    </row>
    <row r="1199" spans="3:4" ht="12.75" customHeight="1" x14ac:dyDescent="0.15">
      <c r="C1199" s="3"/>
      <c r="D1199" s="3"/>
    </row>
    <row r="1200" spans="3:4" ht="12.75" customHeight="1" x14ac:dyDescent="0.15">
      <c r="C1200" s="3"/>
      <c r="D1200" s="3"/>
    </row>
    <row r="1201" spans="3:4" ht="12.75" customHeight="1" x14ac:dyDescent="0.15">
      <c r="C1201" s="3"/>
      <c r="D1201" s="3"/>
    </row>
    <row r="1202" spans="3:4" ht="12.75" customHeight="1" x14ac:dyDescent="0.15">
      <c r="C1202" s="3"/>
      <c r="D1202" s="3"/>
    </row>
    <row r="1203" spans="3:4" ht="12.75" customHeight="1" x14ac:dyDescent="0.15">
      <c r="C1203" s="3"/>
      <c r="D1203" s="3"/>
    </row>
    <row r="1204" spans="3:4" ht="12.75" customHeight="1" x14ac:dyDescent="0.15">
      <c r="C1204" s="3"/>
      <c r="D1204" s="3"/>
    </row>
    <row r="1205" spans="3:4" ht="12.75" customHeight="1" x14ac:dyDescent="0.15">
      <c r="C1205" s="3"/>
      <c r="D1205" s="3"/>
    </row>
    <row r="1206" spans="3:4" ht="12.75" customHeight="1" x14ac:dyDescent="0.15">
      <c r="C1206" s="3"/>
      <c r="D1206" s="3"/>
    </row>
    <row r="1207" spans="3:4" ht="12.75" customHeight="1" x14ac:dyDescent="0.15">
      <c r="C1207" s="3"/>
      <c r="D1207" s="3"/>
    </row>
    <row r="1208" spans="3:4" ht="12.75" customHeight="1" x14ac:dyDescent="0.15">
      <c r="C1208" s="3"/>
      <c r="D1208" s="3"/>
    </row>
    <row r="1209" spans="3:4" ht="12.75" customHeight="1" x14ac:dyDescent="0.15">
      <c r="C1209" s="3"/>
      <c r="D1209" s="3"/>
    </row>
    <row r="1210" spans="3:4" ht="12.75" customHeight="1" x14ac:dyDescent="0.15">
      <c r="C1210" s="3"/>
      <c r="D1210" s="3"/>
    </row>
    <row r="1211" spans="3:4" ht="12.75" customHeight="1" x14ac:dyDescent="0.15">
      <c r="C1211" s="3"/>
      <c r="D1211" s="3"/>
    </row>
    <row r="1212" spans="3:4" ht="12.75" customHeight="1" x14ac:dyDescent="0.15">
      <c r="C1212" s="3"/>
      <c r="D1212" s="3"/>
    </row>
    <row r="1213" spans="3:4" ht="12.75" customHeight="1" x14ac:dyDescent="0.15">
      <c r="C1213" s="3"/>
      <c r="D1213" s="3"/>
    </row>
    <row r="1214" spans="3:4" ht="12.75" customHeight="1" x14ac:dyDescent="0.15">
      <c r="C1214" s="3"/>
      <c r="D1214" s="3"/>
    </row>
    <row r="1215" spans="3:4" ht="12.75" customHeight="1" x14ac:dyDescent="0.15">
      <c r="C1215" s="3"/>
      <c r="D1215" s="3"/>
    </row>
    <row r="1216" spans="3:4" ht="12.75" customHeight="1" x14ac:dyDescent="0.15">
      <c r="C1216" s="3"/>
      <c r="D1216" s="3"/>
    </row>
    <row r="1217" spans="3:4" ht="12.75" customHeight="1" x14ac:dyDescent="0.15">
      <c r="C1217" s="3"/>
      <c r="D1217" s="3"/>
    </row>
    <row r="1218" spans="3:4" ht="12.75" customHeight="1" x14ac:dyDescent="0.15">
      <c r="C1218" s="3"/>
      <c r="D1218" s="3"/>
    </row>
    <row r="1219" spans="3:4" ht="12.75" customHeight="1" x14ac:dyDescent="0.15">
      <c r="C1219" s="3"/>
      <c r="D1219" s="3"/>
    </row>
    <row r="1220" spans="3:4" ht="12.75" customHeight="1" x14ac:dyDescent="0.15">
      <c r="C1220" s="3"/>
      <c r="D1220" s="3"/>
    </row>
    <row r="1221" spans="3:4" ht="12.75" customHeight="1" x14ac:dyDescent="0.15">
      <c r="C1221" s="3"/>
      <c r="D1221" s="3"/>
    </row>
    <row r="1222" spans="3:4" ht="12.75" customHeight="1" x14ac:dyDescent="0.15">
      <c r="C1222" s="3"/>
      <c r="D1222" s="3"/>
    </row>
    <row r="1223" spans="3:4" ht="12.75" customHeight="1" x14ac:dyDescent="0.15">
      <c r="C1223" s="3"/>
      <c r="D1223" s="3"/>
    </row>
    <row r="1224" spans="3:4" ht="12.75" customHeight="1" x14ac:dyDescent="0.15">
      <c r="C1224" s="3"/>
      <c r="D1224" s="3"/>
    </row>
    <row r="1225" spans="3:4" ht="12.75" customHeight="1" x14ac:dyDescent="0.15">
      <c r="C1225" s="3"/>
      <c r="D1225" s="3"/>
    </row>
    <row r="1226" spans="3:4" ht="12.75" customHeight="1" x14ac:dyDescent="0.15">
      <c r="C1226" s="3"/>
      <c r="D1226" s="3"/>
    </row>
    <row r="1227" spans="3:4" ht="12.75" customHeight="1" x14ac:dyDescent="0.15">
      <c r="C1227" s="3"/>
      <c r="D1227" s="3"/>
    </row>
    <row r="1228" spans="3:4" ht="12.75" customHeight="1" x14ac:dyDescent="0.15">
      <c r="C1228" s="3"/>
      <c r="D1228" s="3"/>
    </row>
    <row r="1229" spans="3:4" ht="12.75" customHeight="1" x14ac:dyDescent="0.15">
      <c r="C1229" s="3"/>
      <c r="D1229" s="3"/>
    </row>
    <row r="1230" spans="3:4" ht="12.75" customHeight="1" x14ac:dyDescent="0.15">
      <c r="C1230" s="3"/>
      <c r="D1230" s="3"/>
    </row>
    <row r="1231" spans="3:4" ht="12.75" customHeight="1" x14ac:dyDescent="0.15">
      <c r="C1231" s="3"/>
      <c r="D1231" s="3"/>
    </row>
    <row r="1232" spans="3:4" ht="12.75" customHeight="1" x14ac:dyDescent="0.15">
      <c r="C1232" s="3"/>
      <c r="D1232" s="3"/>
    </row>
    <row r="1233" spans="3:4" ht="12.75" customHeight="1" x14ac:dyDescent="0.15">
      <c r="C1233" s="3"/>
      <c r="D1233" s="3"/>
    </row>
    <row r="1234" spans="3:4" ht="12.75" customHeight="1" x14ac:dyDescent="0.15">
      <c r="C1234" s="3"/>
      <c r="D1234" s="3"/>
    </row>
    <row r="1235" spans="3:4" ht="12.75" customHeight="1" x14ac:dyDescent="0.15">
      <c r="C1235" s="3"/>
      <c r="D1235" s="3"/>
    </row>
    <row r="1236" spans="3:4" ht="12.75" customHeight="1" x14ac:dyDescent="0.15">
      <c r="C1236" s="3"/>
      <c r="D1236" s="3"/>
    </row>
    <row r="1237" spans="3:4" ht="12.75" customHeight="1" x14ac:dyDescent="0.15">
      <c r="C1237" s="3"/>
      <c r="D1237" s="3"/>
    </row>
    <row r="1238" spans="3:4" ht="12.75" customHeight="1" x14ac:dyDescent="0.15">
      <c r="C1238" s="3"/>
      <c r="D1238" s="3"/>
    </row>
    <row r="1239" spans="3:4" ht="12.75" customHeight="1" x14ac:dyDescent="0.15">
      <c r="C1239" s="3"/>
      <c r="D1239" s="3"/>
    </row>
    <row r="1240" spans="3:4" ht="12.75" customHeight="1" x14ac:dyDescent="0.15">
      <c r="C1240" s="3"/>
      <c r="D1240" s="3"/>
    </row>
    <row r="1241" spans="3:4" ht="12.75" customHeight="1" x14ac:dyDescent="0.15">
      <c r="C1241" s="3"/>
      <c r="D1241" s="3"/>
    </row>
    <row r="1242" spans="3:4" ht="12.75" customHeight="1" x14ac:dyDescent="0.15">
      <c r="C1242" s="3"/>
      <c r="D1242" s="3"/>
    </row>
    <row r="1243" spans="3:4" ht="12.75" customHeight="1" x14ac:dyDescent="0.15">
      <c r="C1243" s="3"/>
      <c r="D1243" s="3"/>
    </row>
    <row r="1244" spans="3:4" ht="12.75" customHeight="1" x14ac:dyDescent="0.15">
      <c r="C1244" s="3"/>
      <c r="D1244" s="3"/>
    </row>
    <row r="1245" spans="3:4" ht="12.75" customHeight="1" x14ac:dyDescent="0.15">
      <c r="C1245" s="3"/>
      <c r="D1245" s="3"/>
    </row>
    <row r="1246" spans="3:4" ht="12.75" customHeight="1" x14ac:dyDescent="0.15">
      <c r="C1246" s="3"/>
      <c r="D1246" s="3"/>
    </row>
    <row r="1247" spans="3:4" ht="12.75" customHeight="1" x14ac:dyDescent="0.15">
      <c r="C1247" s="3"/>
      <c r="D1247" s="3"/>
    </row>
    <row r="1248" spans="3:4" ht="12.75" customHeight="1" x14ac:dyDescent="0.15">
      <c r="C1248" s="3"/>
      <c r="D1248" s="3"/>
    </row>
    <row r="1249" spans="3:4" ht="12.75" customHeight="1" x14ac:dyDescent="0.15">
      <c r="C1249" s="3"/>
      <c r="D1249" s="3"/>
    </row>
    <row r="1250" spans="3:4" ht="12.75" customHeight="1" x14ac:dyDescent="0.15">
      <c r="C1250" s="3"/>
      <c r="D1250" s="3"/>
    </row>
    <row r="1251" spans="3:4" ht="12.75" customHeight="1" x14ac:dyDescent="0.15">
      <c r="C1251" s="3"/>
      <c r="D1251" s="3"/>
    </row>
    <row r="1252" spans="3:4" ht="12.75" customHeight="1" x14ac:dyDescent="0.15">
      <c r="C1252" s="3"/>
      <c r="D1252" s="3"/>
    </row>
    <row r="1253" spans="3:4" ht="12.75" customHeight="1" x14ac:dyDescent="0.15">
      <c r="C1253" s="3"/>
      <c r="D1253" s="3"/>
    </row>
    <row r="1254" spans="3:4" ht="12.75" customHeight="1" x14ac:dyDescent="0.15">
      <c r="C1254" s="3"/>
      <c r="D1254" s="3"/>
    </row>
    <row r="1255" spans="3:4" ht="12.75" customHeight="1" x14ac:dyDescent="0.15">
      <c r="C1255" s="3"/>
      <c r="D1255" s="3"/>
    </row>
    <row r="1256" spans="3:4" ht="12.75" customHeight="1" x14ac:dyDescent="0.15">
      <c r="C1256" s="3"/>
      <c r="D1256" s="3"/>
    </row>
    <row r="1257" spans="3:4" ht="12.75" customHeight="1" x14ac:dyDescent="0.15">
      <c r="C1257" s="3"/>
      <c r="D1257" s="3"/>
    </row>
    <row r="1258" spans="3:4" ht="12.75" customHeight="1" x14ac:dyDescent="0.15">
      <c r="C1258" s="3"/>
      <c r="D1258" s="3"/>
    </row>
    <row r="1259" spans="3:4" ht="12.75" customHeight="1" x14ac:dyDescent="0.15">
      <c r="C1259" s="3"/>
      <c r="D1259" s="3"/>
    </row>
    <row r="1260" spans="3:4" ht="12.75" customHeight="1" x14ac:dyDescent="0.15">
      <c r="C1260" s="3"/>
      <c r="D1260" s="3"/>
    </row>
    <row r="1261" spans="3:4" ht="12.75" customHeight="1" x14ac:dyDescent="0.15">
      <c r="C1261" s="3"/>
      <c r="D1261" s="3"/>
    </row>
    <row r="1262" spans="3:4" ht="12.75" customHeight="1" x14ac:dyDescent="0.15">
      <c r="C1262" s="3"/>
      <c r="D1262" s="3"/>
    </row>
    <row r="1263" spans="3:4" ht="12.75" customHeight="1" x14ac:dyDescent="0.15">
      <c r="C1263" s="3"/>
      <c r="D1263" s="3"/>
    </row>
    <row r="1264" spans="3:4" ht="12.75" customHeight="1" x14ac:dyDescent="0.15">
      <c r="C1264" s="3"/>
      <c r="D1264" s="3"/>
    </row>
    <row r="1265" spans="3:4" ht="12.75" customHeight="1" x14ac:dyDescent="0.15">
      <c r="C1265" s="3"/>
      <c r="D1265" s="3"/>
    </row>
    <row r="1266" spans="3:4" ht="12.75" customHeight="1" x14ac:dyDescent="0.15">
      <c r="C1266" s="3"/>
      <c r="D1266" s="3"/>
    </row>
    <row r="1267" spans="3:4" ht="12.75" customHeight="1" x14ac:dyDescent="0.15">
      <c r="C1267" s="3"/>
      <c r="D1267" s="3"/>
    </row>
    <row r="1268" spans="3:4" ht="12.75" customHeight="1" x14ac:dyDescent="0.15">
      <c r="C1268" s="3"/>
      <c r="D1268" s="3"/>
    </row>
    <row r="1269" spans="3:4" ht="12.75" customHeight="1" x14ac:dyDescent="0.15">
      <c r="C1269" s="3"/>
      <c r="D1269" s="3"/>
    </row>
    <row r="1270" spans="3:4" ht="12.75" customHeight="1" x14ac:dyDescent="0.15">
      <c r="C1270" s="3"/>
      <c r="D1270" s="3"/>
    </row>
    <row r="1271" spans="3:4" ht="12.75" customHeight="1" x14ac:dyDescent="0.15">
      <c r="C1271" s="3"/>
      <c r="D1271" s="3"/>
    </row>
    <row r="1272" spans="3:4" ht="12.75" customHeight="1" x14ac:dyDescent="0.15">
      <c r="C1272" s="3"/>
      <c r="D1272" s="3"/>
    </row>
    <row r="1273" spans="3:4" ht="12.75" customHeight="1" x14ac:dyDescent="0.15">
      <c r="C1273" s="3"/>
      <c r="D1273" s="3"/>
    </row>
    <row r="1274" spans="3:4" ht="12.75" customHeight="1" x14ac:dyDescent="0.15">
      <c r="C1274" s="3"/>
      <c r="D1274" s="3"/>
    </row>
    <row r="1275" spans="3:4" ht="12.75" customHeight="1" x14ac:dyDescent="0.15">
      <c r="C1275" s="3"/>
      <c r="D1275" s="3"/>
    </row>
    <row r="1276" spans="3:4" ht="12.75" customHeight="1" x14ac:dyDescent="0.15">
      <c r="C1276" s="3"/>
      <c r="D1276" s="3"/>
    </row>
    <row r="1277" spans="3:4" ht="12.75" customHeight="1" x14ac:dyDescent="0.15">
      <c r="C1277" s="3"/>
      <c r="D1277" s="3"/>
    </row>
    <row r="1278" spans="3:4" ht="12.75" customHeight="1" x14ac:dyDescent="0.15">
      <c r="C1278" s="3"/>
      <c r="D1278" s="3"/>
    </row>
    <row r="1279" spans="3:4" ht="12.75" customHeight="1" x14ac:dyDescent="0.15">
      <c r="C1279" s="3"/>
      <c r="D1279" s="3"/>
    </row>
    <row r="1280" spans="3:4" ht="12.75" customHeight="1" x14ac:dyDescent="0.15">
      <c r="C1280" s="3"/>
      <c r="D1280" s="3"/>
    </row>
    <row r="1281" spans="3:4" ht="12.75" customHeight="1" x14ac:dyDescent="0.15">
      <c r="C1281" s="3"/>
      <c r="D1281" s="3"/>
    </row>
    <row r="1282" spans="3:4" ht="12.75" customHeight="1" x14ac:dyDescent="0.15">
      <c r="C1282" s="3"/>
      <c r="D1282" s="3"/>
    </row>
    <row r="1283" spans="3:4" ht="12.75" customHeight="1" x14ac:dyDescent="0.15">
      <c r="C1283" s="3"/>
      <c r="D1283" s="3"/>
    </row>
    <row r="1284" spans="3:4" ht="12.75" customHeight="1" x14ac:dyDescent="0.15">
      <c r="C1284" s="3"/>
      <c r="D1284" s="3"/>
    </row>
    <row r="1285" spans="3:4" ht="12.75" customHeight="1" x14ac:dyDescent="0.15">
      <c r="C1285" s="3"/>
      <c r="D1285" s="3"/>
    </row>
    <row r="1286" spans="3:4" ht="12.75" customHeight="1" x14ac:dyDescent="0.15">
      <c r="C1286" s="3"/>
      <c r="D1286" s="3"/>
    </row>
    <row r="1287" spans="3:4" ht="12.75" customHeight="1" x14ac:dyDescent="0.15">
      <c r="C1287" s="3"/>
      <c r="D1287" s="3"/>
    </row>
    <row r="1288" spans="3:4" ht="12.75" customHeight="1" x14ac:dyDescent="0.15">
      <c r="C1288" s="3"/>
      <c r="D1288" s="3"/>
    </row>
    <row r="1289" spans="3:4" ht="12.75" customHeight="1" x14ac:dyDescent="0.15">
      <c r="C1289" s="3"/>
      <c r="D1289" s="3"/>
    </row>
    <row r="1290" spans="3:4" ht="12.75" customHeight="1" x14ac:dyDescent="0.15">
      <c r="C1290" s="3"/>
      <c r="D1290" s="3"/>
    </row>
    <row r="1291" spans="3:4" ht="12.75" customHeight="1" x14ac:dyDescent="0.15">
      <c r="C1291" s="3"/>
      <c r="D1291" s="3"/>
    </row>
    <row r="1292" spans="3:4" ht="12.75" customHeight="1" x14ac:dyDescent="0.15">
      <c r="C1292" s="3"/>
      <c r="D1292" s="3"/>
    </row>
    <row r="1293" spans="3:4" ht="12.75" customHeight="1" x14ac:dyDescent="0.15">
      <c r="C1293" s="3"/>
      <c r="D1293" s="3"/>
    </row>
    <row r="1294" spans="3:4" ht="12.75" customHeight="1" x14ac:dyDescent="0.15">
      <c r="C1294" s="3"/>
      <c r="D1294" s="3"/>
    </row>
    <row r="1295" spans="3:4" ht="12.75" customHeight="1" x14ac:dyDescent="0.15">
      <c r="C1295" s="3"/>
      <c r="D1295" s="3"/>
    </row>
    <row r="1296" spans="3:4" ht="12.75" customHeight="1" x14ac:dyDescent="0.15">
      <c r="C1296" s="3"/>
      <c r="D1296" s="3"/>
    </row>
    <row r="1297" spans="3:4" ht="12.75" customHeight="1" x14ac:dyDescent="0.15">
      <c r="C1297" s="3"/>
      <c r="D1297" s="3"/>
    </row>
    <row r="1298" spans="3:4" ht="12.75" customHeight="1" x14ac:dyDescent="0.15">
      <c r="C1298" s="3"/>
      <c r="D1298" s="3"/>
    </row>
    <row r="1299" spans="3:4" ht="12.75" customHeight="1" x14ac:dyDescent="0.15">
      <c r="C1299" s="3"/>
      <c r="D1299" s="3"/>
    </row>
    <row r="1300" spans="3:4" ht="12.75" customHeight="1" x14ac:dyDescent="0.15">
      <c r="C1300" s="3"/>
      <c r="D1300" s="3"/>
    </row>
    <row r="1301" spans="3:4" ht="12.75" customHeight="1" x14ac:dyDescent="0.15">
      <c r="C1301" s="3"/>
      <c r="D1301" s="3"/>
    </row>
    <row r="1302" spans="3:4" ht="12.75" customHeight="1" x14ac:dyDescent="0.15">
      <c r="C1302" s="3"/>
      <c r="D1302" s="3"/>
    </row>
    <row r="1303" spans="3:4" ht="12.75" customHeight="1" x14ac:dyDescent="0.15">
      <c r="C1303" s="3"/>
      <c r="D1303" s="3"/>
    </row>
    <row r="1304" spans="3:4" ht="12.75" customHeight="1" x14ac:dyDescent="0.15">
      <c r="C1304" s="3"/>
      <c r="D1304" s="3"/>
    </row>
    <row r="1305" spans="3:4" ht="12.75" customHeight="1" x14ac:dyDescent="0.15">
      <c r="C1305" s="3"/>
      <c r="D1305" s="3"/>
    </row>
    <row r="1306" spans="3:4" ht="12.75" customHeight="1" x14ac:dyDescent="0.15">
      <c r="C1306" s="3"/>
      <c r="D1306" s="3"/>
    </row>
    <row r="1307" spans="3:4" ht="12.75" customHeight="1" x14ac:dyDescent="0.15">
      <c r="C1307" s="3"/>
      <c r="D1307" s="3"/>
    </row>
    <row r="1308" spans="3:4" ht="12.75" customHeight="1" x14ac:dyDescent="0.15">
      <c r="C1308" s="3"/>
      <c r="D1308" s="3"/>
    </row>
    <row r="1309" spans="3:4" ht="12.75" customHeight="1" x14ac:dyDescent="0.15">
      <c r="C1309" s="3"/>
      <c r="D1309" s="3"/>
    </row>
    <row r="1310" spans="3:4" ht="12.75" customHeight="1" x14ac:dyDescent="0.15">
      <c r="C1310" s="3"/>
      <c r="D1310" s="3"/>
    </row>
    <row r="1311" spans="3:4" ht="12.75" customHeight="1" x14ac:dyDescent="0.15">
      <c r="C1311" s="3"/>
      <c r="D1311" s="3"/>
    </row>
    <row r="1312" spans="3:4" ht="12.75" customHeight="1" x14ac:dyDescent="0.15">
      <c r="C1312" s="3"/>
      <c r="D1312" s="3"/>
    </row>
    <row r="1313" spans="3:4" ht="12.75" customHeight="1" x14ac:dyDescent="0.15">
      <c r="C1313" s="3"/>
      <c r="D1313" s="3"/>
    </row>
    <row r="1314" spans="3:4" ht="12.75" customHeight="1" x14ac:dyDescent="0.15">
      <c r="C1314" s="3"/>
      <c r="D1314" s="3"/>
    </row>
    <row r="1315" spans="3:4" ht="12.75" customHeight="1" x14ac:dyDescent="0.15">
      <c r="C1315" s="3"/>
      <c r="D1315" s="3"/>
    </row>
    <row r="1316" spans="3:4" ht="12.75" customHeight="1" x14ac:dyDescent="0.15">
      <c r="C1316" s="3"/>
      <c r="D1316" s="3"/>
    </row>
    <row r="1317" spans="3:4" ht="12.75" customHeight="1" x14ac:dyDescent="0.15">
      <c r="C1317" s="3"/>
      <c r="D1317" s="3"/>
    </row>
    <row r="1318" spans="3:4" ht="12.75" customHeight="1" x14ac:dyDescent="0.15">
      <c r="C1318" s="3"/>
      <c r="D1318" s="3"/>
    </row>
    <row r="1319" spans="3:4" ht="12.75" customHeight="1" x14ac:dyDescent="0.15">
      <c r="C1319" s="3"/>
      <c r="D1319" s="3"/>
    </row>
    <row r="1320" spans="3:4" ht="12.75" customHeight="1" x14ac:dyDescent="0.15">
      <c r="C1320" s="3"/>
      <c r="D1320" s="3"/>
    </row>
    <row r="1321" spans="3:4" ht="12.75" customHeight="1" x14ac:dyDescent="0.15">
      <c r="C1321" s="3"/>
      <c r="D1321" s="3"/>
    </row>
    <row r="1322" spans="3:4" ht="12.75" customHeight="1" x14ac:dyDescent="0.15">
      <c r="C1322" s="3"/>
      <c r="D1322" s="3"/>
    </row>
    <row r="1323" spans="3:4" ht="12.75" customHeight="1" x14ac:dyDescent="0.15">
      <c r="C1323" s="3"/>
      <c r="D1323" s="3"/>
    </row>
    <row r="1324" spans="3:4" ht="12.75" customHeight="1" x14ac:dyDescent="0.15">
      <c r="C1324" s="3"/>
      <c r="D1324" s="3"/>
    </row>
    <row r="1325" spans="3:4" ht="12.75" customHeight="1" x14ac:dyDescent="0.15">
      <c r="C1325" s="3"/>
      <c r="D1325" s="3"/>
    </row>
    <row r="1326" spans="3:4" ht="12.75" customHeight="1" x14ac:dyDescent="0.15">
      <c r="C1326" s="3"/>
      <c r="D1326" s="3"/>
    </row>
    <row r="1327" spans="3:4" ht="12.75" customHeight="1" x14ac:dyDescent="0.15">
      <c r="C1327" s="3"/>
      <c r="D1327" s="3"/>
    </row>
    <row r="1328" spans="3:4" ht="12.75" customHeight="1" x14ac:dyDescent="0.15">
      <c r="C1328" s="3"/>
      <c r="D1328" s="3"/>
    </row>
    <row r="1329" spans="3:4" ht="12.75" customHeight="1" x14ac:dyDescent="0.15">
      <c r="C1329" s="3"/>
      <c r="D1329" s="3"/>
    </row>
    <row r="1330" spans="3:4" ht="12.75" customHeight="1" x14ac:dyDescent="0.15">
      <c r="C1330" s="3"/>
      <c r="D1330" s="3"/>
    </row>
    <row r="1331" spans="3:4" ht="12.75" customHeight="1" x14ac:dyDescent="0.15">
      <c r="C1331" s="3"/>
      <c r="D1331" s="3"/>
    </row>
    <row r="1332" spans="3:4" ht="12.75" customHeight="1" x14ac:dyDescent="0.15">
      <c r="C1332" s="3"/>
      <c r="D1332" s="3"/>
    </row>
    <row r="1333" spans="3:4" ht="12.75" customHeight="1" x14ac:dyDescent="0.15">
      <c r="C1333" s="3"/>
      <c r="D1333" s="3"/>
    </row>
    <row r="1334" spans="3:4" ht="12.75" customHeight="1" x14ac:dyDescent="0.15">
      <c r="C1334" s="3"/>
      <c r="D1334" s="3"/>
    </row>
    <row r="1335" spans="3:4" ht="12.75" customHeight="1" x14ac:dyDescent="0.15">
      <c r="C1335" s="3"/>
      <c r="D1335" s="3"/>
    </row>
    <row r="1336" spans="3:4" ht="12.75" customHeight="1" x14ac:dyDescent="0.15">
      <c r="C1336" s="3"/>
      <c r="D1336" s="3"/>
    </row>
    <row r="1337" spans="3:4" ht="12.75" customHeight="1" x14ac:dyDescent="0.15">
      <c r="C1337" s="3"/>
      <c r="D1337" s="3"/>
    </row>
    <row r="1338" spans="3:4" ht="12.75" customHeight="1" x14ac:dyDescent="0.15">
      <c r="C1338" s="3"/>
      <c r="D1338" s="3"/>
    </row>
    <row r="1339" spans="3:4" ht="12.75" customHeight="1" x14ac:dyDescent="0.15">
      <c r="C1339" s="3"/>
      <c r="D1339" s="3"/>
    </row>
    <row r="1340" spans="3:4" ht="12.75" customHeight="1" x14ac:dyDescent="0.15">
      <c r="C1340" s="3"/>
      <c r="D1340" s="3"/>
    </row>
    <row r="1341" spans="3:4" ht="12.75" customHeight="1" x14ac:dyDescent="0.15">
      <c r="C1341" s="3"/>
      <c r="D1341" s="3"/>
    </row>
    <row r="1342" spans="3:4" ht="12.75" customHeight="1" x14ac:dyDescent="0.15">
      <c r="C1342" s="3"/>
      <c r="D1342" s="3"/>
    </row>
    <row r="1343" spans="3:4" ht="12.75" customHeight="1" x14ac:dyDescent="0.15">
      <c r="C1343" s="3"/>
      <c r="D1343" s="3"/>
    </row>
    <row r="1344" spans="3:4" ht="12.75" customHeight="1" x14ac:dyDescent="0.15">
      <c r="C1344" s="3"/>
      <c r="D1344" s="3"/>
    </row>
    <row r="1345" spans="3:4" ht="12.75" customHeight="1" x14ac:dyDescent="0.15">
      <c r="C1345" s="3"/>
      <c r="D1345" s="3"/>
    </row>
    <row r="1346" spans="3:4" ht="12.75" customHeight="1" x14ac:dyDescent="0.15">
      <c r="C1346" s="3"/>
      <c r="D1346" s="3"/>
    </row>
    <row r="1347" spans="3:4" ht="12.75" customHeight="1" x14ac:dyDescent="0.15">
      <c r="C1347" s="3"/>
      <c r="D1347" s="3"/>
    </row>
    <row r="1348" spans="3:4" ht="12.75" customHeight="1" x14ac:dyDescent="0.15">
      <c r="C1348" s="3"/>
      <c r="D1348" s="3"/>
    </row>
    <row r="1349" spans="3:4" ht="12.75" customHeight="1" x14ac:dyDescent="0.15">
      <c r="C1349" s="3"/>
      <c r="D1349" s="3"/>
    </row>
    <row r="1350" spans="3:4" ht="12.75" customHeight="1" x14ac:dyDescent="0.15">
      <c r="C1350" s="3"/>
      <c r="D1350" s="3"/>
    </row>
    <row r="1351" spans="3:4" ht="12.75" customHeight="1" x14ac:dyDescent="0.15">
      <c r="C1351" s="3"/>
      <c r="D1351" s="3"/>
    </row>
    <row r="1352" spans="3:4" ht="12.75" customHeight="1" x14ac:dyDescent="0.15">
      <c r="C1352" s="3"/>
      <c r="D1352" s="3"/>
    </row>
    <row r="1353" spans="3:4" ht="12.75" customHeight="1" x14ac:dyDescent="0.15">
      <c r="C1353" s="3"/>
      <c r="D1353" s="3"/>
    </row>
    <row r="1354" spans="3:4" ht="12.75" customHeight="1" x14ac:dyDescent="0.15">
      <c r="C1354" s="3"/>
      <c r="D1354" s="3"/>
    </row>
    <row r="1355" spans="3:4" ht="12.75" customHeight="1" x14ac:dyDescent="0.15">
      <c r="C1355" s="3"/>
      <c r="D1355" s="3"/>
    </row>
    <row r="1356" spans="3:4" ht="12.75" customHeight="1" x14ac:dyDescent="0.15">
      <c r="C1356" s="3"/>
      <c r="D1356" s="3"/>
    </row>
    <row r="1357" spans="3:4" ht="12.75" customHeight="1" x14ac:dyDescent="0.15">
      <c r="C1357" s="3"/>
      <c r="D1357" s="3"/>
    </row>
    <row r="1358" spans="3:4" ht="12.75" customHeight="1" x14ac:dyDescent="0.15">
      <c r="C1358" s="3"/>
      <c r="D1358" s="3"/>
    </row>
    <row r="1359" spans="3:4" ht="12.75" customHeight="1" x14ac:dyDescent="0.15">
      <c r="C1359" s="3"/>
      <c r="D1359" s="3"/>
    </row>
    <row r="1360" spans="3:4" ht="12.75" customHeight="1" x14ac:dyDescent="0.15">
      <c r="C1360" s="3"/>
      <c r="D1360" s="3"/>
    </row>
    <row r="1361" spans="3:4" ht="12.75" customHeight="1" x14ac:dyDescent="0.15">
      <c r="C1361" s="3"/>
      <c r="D1361" s="3"/>
    </row>
    <row r="1362" spans="3:4" ht="12.75" customHeight="1" x14ac:dyDescent="0.15">
      <c r="C1362" s="3"/>
      <c r="D1362" s="3"/>
    </row>
    <row r="1363" spans="3:4" ht="12.75" customHeight="1" x14ac:dyDescent="0.15">
      <c r="C1363" s="3"/>
      <c r="D1363" s="3"/>
    </row>
    <row r="1364" spans="3:4" ht="12.75" customHeight="1" x14ac:dyDescent="0.15">
      <c r="C1364" s="3"/>
      <c r="D1364" s="3"/>
    </row>
    <row r="1365" spans="3:4" ht="12.75" customHeight="1" x14ac:dyDescent="0.15">
      <c r="C1365" s="3"/>
      <c r="D1365" s="3"/>
    </row>
    <row r="1366" spans="3:4" ht="12.75" customHeight="1" x14ac:dyDescent="0.15">
      <c r="C1366" s="3"/>
      <c r="D1366" s="3"/>
    </row>
    <row r="1367" spans="3:4" ht="12.75" customHeight="1" x14ac:dyDescent="0.15">
      <c r="C1367" s="3"/>
      <c r="D1367" s="3"/>
    </row>
    <row r="1368" spans="3:4" ht="12.75" customHeight="1" x14ac:dyDescent="0.15">
      <c r="C1368" s="3"/>
      <c r="D1368" s="3"/>
    </row>
    <row r="1369" spans="3:4" ht="12.75" customHeight="1" x14ac:dyDescent="0.15">
      <c r="C1369" s="3"/>
      <c r="D1369" s="3"/>
    </row>
    <row r="1370" spans="3:4" ht="12.75" customHeight="1" x14ac:dyDescent="0.15">
      <c r="C1370" s="3"/>
      <c r="D1370" s="3"/>
    </row>
    <row r="1371" spans="3:4" ht="12.75" customHeight="1" x14ac:dyDescent="0.15">
      <c r="C1371" s="3"/>
      <c r="D1371" s="3"/>
    </row>
    <row r="1372" spans="3:4" ht="12.75" customHeight="1" x14ac:dyDescent="0.15">
      <c r="C1372" s="3"/>
      <c r="D1372" s="3"/>
    </row>
    <row r="1373" spans="3:4" ht="12.75" customHeight="1" x14ac:dyDescent="0.15">
      <c r="C1373" s="3"/>
      <c r="D1373" s="3"/>
    </row>
    <row r="1374" spans="3:4" ht="12.75" customHeight="1" x14ac:dyDescent="0.15">
      <c r="C1374" s="3"/>
      <c r="D1374" s="3"/>
    </row>
    <row r="1375" spans="3:4" ht="12.75" customHeight="1" x14ac:dyDescent="0.15">
      <c r="C1375" s="3"/>
      <c r="D1375" s="3"/>
    </row>
    <row r="1376" spans="3:4" ht="12.75" customHeight="1" x14ac:dyDescent="0.15">
      <c r="C1376" s="3"/>
      <c r="D1376" s="3"/>
    </row>
    <row r="1377" spans="3:4" ht="12.75" customHeight="1" x14ac:dyDescent="0.15">
      <c r="C1377" s="3"/>
      <c r="D1377" s="3"/>
    </row>
    <row r="1378" spans="3:4" ht="12.75" customHeight="1" x14ac:dyDescent="0.15">
      <c r="C1378" s="3"/>
      <c r="D1378" s="3"/>
    </row>
    <row r="1379" spans="3:4" ht="12.75" customHeight="1" x14ac:dyDescent="0.15">
      <c r="C1379" s="3"/>
      <c r="D1379" s="3"/>
    </row>
    <row r="1380" spans="3:4" ht="12.75" customHeight="1" x14ac:dyDescent="0.15">
      <c r="C1380" s="3"/>
      <c r="D1380" s="3"/>
    </row>
    <row r="1381" spans="3:4" ht="12.75" customHeight="1" x14ac:dyDescent="0.15">
      <c r="C1381" s="3"/>
      <c r="D1381" s="3"/>
    </row>
    <row r="1382" spans="3:4" ht="12.75" customHeight="1" x14ac:dyDescent="0.15">
      <c r="C1382" s="3"/>
      <c r="D1382" s="3"/>
    </row>
    <row r="1383" spans="3:4" ht="12.75" customHeight="1" x14ac:dyDescent="0.15">
      <c r="C1383" s="3"/>
      <c r="D1383" s="3"/>
    </row>
    <row r="1384" spans="3:4" ht="12.75" customHeight="1" x14ac:dyDescent="0.15">
      <c r="C1384" s="3"/>
      <c r="D1384" s="3"/>
    </row>
    <row r="1385" spans="3:4" ht="12.75" customHeight="1" x14ac:dyDescent="0.15">
      <c r="C1385" s="3"/>
      <c r="D1385" s="3"/>
    </row>
    <row r="1386" spans="3:4" ht="12.75" customHeight="1" x14ac:dyDescent="0.15">
      <c r="C1386" s="3"/>
      <c r="D1386" s="3"/>
    </row>
    <row r="1387" spans="3:4" ht="12.75" customHeight="1" x14ac:dyDescent="0.15">
      <c r="C1387" s="3"/>
      <c r="D1387" s="3"/>
    </row>
    <row r="1388" spans="3:4" ht="12.75" customHeight="1" x14ac:dyDescent="0.15">
      <c r="C1388" s="3"/>
      <c r="D1388" s="3"/>
    </row>
    <row r="1389" spans="3:4" ht="12.75" customHeight="1" x14ac:dyDescent="0.15">
      <c r="C1389" s="3"/>
      <c r="D1389" s="3"/>
    </row>
    <row r="1390" spans="3:4" ht="12.75" customHeight="1" x14ac:dyDescent="0.15">
      <c r="C1390" s="3"/>
      <c r="D1390" s="3"/>
    </row>
    <row r="1391" spans="3:4" ht="12.75" customHeight="1" x14ac:dyDescent="0.15">
      <c r="C1391" s="3"/>
      <c r="D1391" s="3"/>
    </row>
    <row r="1392" spans="3:4" ht="12.75" customHeight="1" x14ac:dyDescent="0.15">
      <c r="C1392" s="3"/>
      <c r="D1392" s="3"/>
    </row>
    <row r="1393" spans="3:4" ht="12.75" customHeight="1" x14ac:dyDescent="0.15">
      <c r="C1393" s="3"/>
      <c r="D1393" s="3"/>
    </row>
    <row r="1394" spans="3:4" ht="12.75" customHeight="1" x14ac:dyDescent="0.15">
      <c r="C1394" s="3"/>
      <c r="D1394" s="3"/>
    </row>
    <row r="1395" spans="3:4" ht="12.75" customHeight="1" x14ac:dyDescent="0.15">
      <c r="C1395" s="3"/>
      <c r="D1395" s="3"/>
    </row>
    <row r="1396" spans="3:4" ht="12.75" customHeight="1" x14ac:dyDescent="0.15">
      <c r="C1396" s="3"/>
      <c r="D1396" s="3"/>
    </row>
    <row r="1397" spans="3:4" ht="12.75" customHeight="1" x14ac:dyDescent="0.15">
      <c r="C1397" s="3"/>
      <c r="D1397" s="3"/>
    </row>
    <row r="1398" spans="3:4" ht="12.75" customHeight="1" x14ac:dyDescent="0.15">
      <c r="C1398" s="3"/>
      <c r="D1398" s="3"/>
    </row>
    <row r="1399" spans="3:4" ht="12.75" customHeight="1" x14ac:dyDescent="0.15">
      <c r="C1399" s="3"/>
      <c r="D1399" s="3"/>
    </row>
    <row r="1400" spans="3:4" ht="12.75" customHeight="1" x14ac:dyDescent="0.15">
      <c r="C1400" s="3"/>
      <c r="D1400" s="3"/>
    </row>
    <row r="1401" spans="3:4" ht="12.75" customHeight="1" x14ac:dyDescent="0.15">
      <c r="C1401" s="3"/>
      <c r="D1401" s="3"/>
    </row>
    <row r="1402" spans="3:4" ht="12.75" customHeight="1" x14ac:dyDescent="0.15">
      <c r="C1402" s="3"/>
      <c r="D1402" s="3"/>
    </row>
    <row r="1403" spans="3:4" ht="12.75" customHeight="1" x14ac:dyDescent="0.15">
      <c r="C1403" s="3"/>
      <c r="D1403" s="3"/>
    </row>
    <row r="1404" spans="3:4" ht="12.75" customHeight="1" x14ac:dyDescent="0.15">
      <c r="C1404" s="3"/>
      <c r="D1404" s="3"/>
    </row>
    <row r="1405" spans="3:4" ht="12.75" customHeight="1" x14ac:dyDescent="0.15">
      <c r="C1405" s="3"/>
      <c r="D1405" s="3"/>
    </row>
    <row r="1406" spans="3:4" ht="12.75" customHeight="1" x14ac:dyDescent="0.15">
      <c r="C1406" s="3"/>
      <c r="D1406" s="3"/>
    </row>
    <row r="1407" spans="3:4" ht="12.75" customHeight="1" x14ac:dyDescent="0.15">
      <c r="C1407" s="3"/>
      <c r="D1407" s="3"/>
    </row>
    <row r="1408" spans="3:4" ht="12.75" customHeight="1" x14ac:dyDescent="0.15">
      <c r="C1408" s="3"/>
      <c r="D1408" s="3"/>
    </row>
    <row r="1409" spans="3:4" ht="12.75" customHeight="1" x14ac:dyDescent="0.15">
      <c r="C1409" s="3"/>
      <c r="D1409" s="3"/>
    </row>
    <row r="1410" spans="3:4" ht="12.75" customHeight="1" x14ac:dyDescent="0.15">
      <c r="C1410" s="3"/>
      <c r="D1410" s="3"/>
    </row>
    <row r="1411" spans="3:4" ht="12.75" customHeight="1" x14ac:dyDescent="0.15">
      <c r="C1411" s="3"/>
      <c r="D1411" s="3"/>
    </row>
    <row r="1412" spans="3:4" ht="12.75" customHeight="1" x14ac:dyDescent="0.15">
      <c r="C1412" s="3"/>
      <c r="D1412" s="3"/>
    </row>
    <row r="1413" spans="3:4" ht="12.75" customHeight="1" x14ac:dyDescent="0.15">
      <c r="C1413" s="3"/>
      <c r="D1413" s="3"/>
    </row>
    <row r="1414" spans="3:4" ht="12.75" customHeight="1" x14ac:dyDescent="0.15">
      <c r="C1414" s="3"/>
      <c r="D1414" s="3"/>
    </row>
    <row r="1415" spans="3:4" ht="12.75" customHeight="1" x14ac:dyDescent="0.15">
      <c r="C1415" s="3"/>
      <c r="D1415" s="3"/>
    </row>
    <row r="1416" spans="3:4" ht="12.75" customHeight="1" x14ac:dyDescent="0.15">
      <c r="C1416" s="3"/>
      <c r="D1416" s="3"/>
    </row>
    <row r="1417" spans="3:4" ht="12.75" customHeight="1" x14ac:dyDescent="0.15">
      <c r="C1417" s="3"/>
      <c r="D1417" s="3"/>
    </row>
    <row r="1418" spans="3:4" ht="12.75" customHeight="1" x14ac:dyDescent="0.15">
      <c r="C1418" s="3"/>
      <c r="D1418" s="3"/>
    </row>
    <row r="1419" spans="3:4" ht="12.75" customHeight="1" x14ac:dyDescent="0.15">
      <c r="C1419" s="3"/>
      <c r="D1419" s="3"/>
    </row>
    <row r="1420" spans="3:4" ht="12.75" customHeight="1" x14ac:dyDescent="0.15">
      <c r="C1420" s="3"/>
      <c r="D1420" s="3"/>
    </row>
    <row r="1421" spans="3:4" ht="12.75" customHeight="1" x14ac:dyDescent="0.15">
      <c r="C1421" s="3"/>
      <c r="D1421" s="3"/>
    </row>
    <row r="1422" spans="3:4" ht="12.75" customHeight="1" x14ac:dyDescent="0.15">
      <c r="C1422" s="3"/>
      <c r="D1422" s="3"/>
    </row>
    <row r="1423" spans="3:4" ht="12.75" customHeight="1" x14ac:dyDescent="0.15">
      <c r="C1423" s="3"/>
      <c r="D1423" s="3"/>
    </row>
    <row r="1424" spans="3:4" ht="12.75" customHeight="1" x14ac:dyDescent="0.15">
      <c r="C1424" s="3"/>
      <c r="D1424" s="3"/>
    </row>
    <row r="1425" spans="3:4" ht="12.75" customHeight="1" x14ac:dyDescent="0.15">
      <c r="C1425" s="3"/>
      <c r="D1425" s="3"/>
    </row>
    <row r="1426" spans="3:4" ht="12.75" customHeight="1" x14ac:dyDescent="0.15">
      <c r="C1426" s="3"/>
      <c r="D1426" s="3"/>
    </row>
    <row r="1427" spans="3:4" ht="12.75" customHeight="1" x14ac:dyDescent="0.15">
      <c r="C1427" s="3"/>
      <c r="D1427" s="3"/>
    </row>
    <row r="1428" spans="3:4" ht="12.75" customHeight="1" x14ac:dyDescent="0.15">
      <c r="C1428" s="3"/>
      <c r="D1428" s="3"/>
    </row>
    <row r="1429" spans="3:4" ht="12.75" customHeight="1" x14ac:dyDescent="0.15">
      <c r="C1429" s="3"/>
      <c r="D1429" s="3"/>
    </row>
    <row r="1430" spans="3:4" ht="12.75" customHeight="1" x14ac:dyDescent="0.15">
      <c r="C1430" s="3"/>
      <c r="D1430" s="3"/>
    </row>
    <row r="1431" spans="3:4" ht="12.75" customHeight="1" x14ac:dyDescent="0.15">
      <c r="C1431" s="3"/>
      <c r="D1431" s="3"/>
    </row>
    <row r="1432" spans="3:4" ht="12.75" customHeight="1" x14ac:dyDescent="0.15">
      <c r="C1432" s="3"/>
      <c r="D1432" s="3"/>
    </row>
    <row r="1433" spans="3:4" ht="12.75" customHeight="1" x14ac:dyDescent="0.15">
      <c r="C1433" s="3"/>
      <c r="D1433" s="3"/>
    </row>
    <row r="1434" spans="3:4" ht="12.75" customHeight="1" x14ac:dyDescent="0.15">
      <c r="C1434" s="3"/>
      <c r="D1434" s="3"/>
    </row>
    <row r="1435" spans="3:4" ht="12.75" customHeight="1" x14ac:dyDescent="0.15">
      <c r="C1435" s="3"/>
      <c r="D1435" s="3"/>
    </row>
    <row r="1436" spans="3:4" ht="12.75" customHeight="1" x14ac:dyDescent="0.15">
      <c r="C1436" s="3"/>
      <c r="D1436" s="3"/>
    </row>
    <row r="1437" spans="3:4" ht="12.75" customHeight="1" x14ac:dyDescent="0.15">
      <c r="C1437" s="3"/>
      <c r="D1437" s="3"/>
    </row>
    <row r="1438" spans="3:4" ht="12.75" customHeight="1" x14ac:dyDescent="0.15">
      <c r="C1438" s="3"/>
      <c r="D1438" s="3"/>
    </row>
    <row r="1439" spans="3:4" ht="12.75" customHeight="1" x14ac:dyDescent="0.15">
      <c r="C1439" s="3"/>
      <c r="D1439" s="3"/>
    </row>
    <row r="1440" spans="3:4" ht="12.75" customHeight="1" x14ac:dyDescent="0.15">
      <c r="C1440" s="3"/>
      <c r="D1440" s="3"/>
    </row>
    <row r="1441" spans="3:4" ht="12.75" customHeight="1" x14ac:dyDescent="0.15">
      <c r="C1441" s="3"/>
      <c r="D1441" s="3"/>
    </row>
    <row r="1442" spans="3:4" ht="12.75" customHeight="1" x14ac:dyDescent="0.15">
      <c r="C1442" s="3"/>
      <c r="D1442" s="3"/>
    </row>
    <row r="1443" spans="3:4" ht="12.75" customHeight="1" x14ac:dyDescent="0.15">
      <c r="C1443" s="3"/>
      <c r="D1443" s="3"/>
    </row>
    <row r="1444" spans="3:4" ht="12.75" customHeight="1" x14ac:dyDescent="0.15">
      <c r="C1444" s="3"/>
      <c r="D1444" s="3"/>
    </row>
    <row r="1445" spans="3:4" ht="12.75" customHeight="1" x14ac:dyDescent="0.15">
      <c r="C1445" s="3"/>
      <c r="D1445" s="3"/>
    </row>
    <row r="1446" spans="3:4" ht="12.75" customHeight="1" x14ac:dyDescent="0.15">
      <c r="C1446" s="3"/>
      <c r="D1446" s="3"/>
    </row>
    <row r="1447" spans="3:4" ht="12.75" customHeight="1" x14ac:dyDescent="0.15">
      <c r="C1447" s="3"/>
      <c r="D1447" s="3"/>
    </row>
    <row r="1448" spans="3:4" ht="12.75" customHeight="1" x14ac:dyDescent="0.15">
      <c r="C1448" s="3"/>
      <c r="D1448" s="3"/>
    </row>
    <row r="1449" spans="3:4" ht="12.75" customHeight="1" x14ac:dyDescent="0.15">
      <c r="C1449" s="3"/>
      <c r="D1449" s="3"/>
    </row>
    <row r="1450" spans="3:4" ht="12.75" customHeight="1" x14ac:dyDescent="0.15">
      <c r="C1450" s="3"/>
      <c r="D1450" s="3"/>
    </row>
    <row r="1451" spans="3:4" ht="12.75" customHeight="1" x14ac:dyDescent="0.15">
      <c r="C1451" s="3"/>
      <c r="D1451" s="3"/>
    </row>
    <row r="1452" spans="3:4" ht="12.75" customHeight="1" x14ac:dyDescent="0.15">
      <c r="C1452" s="3"/>
      <c r="D1452" s="3"/>
    </row>
    <row r="1453" spans="3:4" ht="12.75" customHeight="1" x14ac:dyDescent="0.15">
      <c r="C1453" s="3"/>
      <c r="D1453" s="3"/>
    </row>
    <row r="1454" spans="3:4" ht="12.75" customHeight="1" x14ac:dyDescent="0.15">
      <c r="C1454" s="3"/>
      <c r="D1454" s="3"/>
    </row>
    <row r="1455" spans="3:4" ht="12.75" customHeight="1" x14ac:dyDescent="0.15">
      <c r="C1455" s="3"/>
      <c r="D1455" s="3"/>
    </row>
    <row r="1456" spans="3:4" ht="12.75" customHeight="1" x14ac:dyDescent="0.15">
      <c r="C1456" s="3"/>
      <c r="D1456" s="3"/>
    </row>
    <row r="1457" spans="3:4" ht="12.75" customHeight="1" x14ac:dyDescent="0.15">
      <c r="C1457" s="3"/>
      <c r="D1457" s="3"/>
    </row>
    <row r="1458" spans="3:4" ht="12.75" customHeight="1" x14ac:dyDescent="0.15">
      <c r="C1458" s="3"/>
      <c r="D1458" s="3"/>
    </row>
    <row r="1459" spans="3:4" ht="12.75" customHeight="1" x14ac:dyDescent="0.15">
      <c r="C1459" s="3"/>
      <c r="D1459" s="3"/>
    </row>
    <row r="1460" spans="3:4" ht="12.75" customHeight="1" x14ac:dyDescent="0.15">
      <c r="C1460" s="3"/>
      <c r="D1460" s="3"/>
    </row>
    <row r="1461" spans="3:4" ht="12.75" customHeight="1" x14ac:dyDescent="0.15">
      <c r="C1461" s="3"/>
      <c r="D1461" s="3"/>
    </row>
    <row r="1462" spans="3:4" ht="12.75" customHeight="1" x14ac:dyDescent="0.15">
      <c r="C1462" s="3"/>
      <c r="D1462" s="3"/>
    </row>
    <row r="1463" spans="3:4" ht="12.75" customHeight="1" x14ac:dyDescent="0.15">
      <c r="C1463" s="3"/>
      <c r="D1463" s="3"/>
    </row>
    <row r="1464" spans="3:4" ht="12.75" customHeight="1" x14ac:dyDescent="0.15">
      <c r="C1464" s="3"/>
      <c r="D1464" s="3"/>
    </row>
    <row r="1465" spans="3:4" ht="12.75" customHeight="1" x14ac:dyDescent="0.15">
      <c r="C1465" s="3"/>
      <c r="D1465" s="3"/>
    </row>
    <row r="1466" spans="3:4" ht="12.75" customHeight="1" x14ac:dyDescent="0.15">
      <c r="C1466" s="3"/>
      <c r="D1466" s="3"/>
    </row>
    <row r="1467" spans="3:4" ht="12.75" customHeight="1" x14ac:dyDescent="0.15">
      <c r="C1467" s="3"/>
      <c r="D1467" s="3"/>
    </row>
    <row r="1468" spans="3:4" ht="12.75" customHeight="1" x14ac:dyDescent="0.15">
      <c r="C1468" s="3"/>
      <c r="D1468" s="3"/>
    </row>
    <row r="1469" spans="3:4" ht="12.75" customHeight="1" x14ac:dyDescent="0.15">
      <c r="C1469" s="3"/>
      <c r="D1469" s="3"/>
    </row>
    <row r="1470" spans="3:4" ht="12.75" customHeight="1" x14ac:dyDescent="0.15">
      <c r="C1470" s="3"/>
      <c r="D1470" s="3"/>
    </row>
    <row r="1471" spans="3:4" ht="12.75" customHeight="1" x14ac:dyDescent="0.15">
      <c r="C1471" s="3"/>
      <c r="D1471" s="3"/>
    </row>
    <row r="1472" spans="3:4" ht="12.75" customHeight="1" x14ac:dyDescent="0.15">
      <c r="C1472" s="3"/>
      <c r="D1472" s="3"/>
    </row>
    <row r="1473" spans="3:4" ht="12.75" customHeight="1" x14ac:dyDescent="0.15">
      <c r="C1473" s="3"/>
      <c r="D1473" s="3"/>
    </row>
    <row r="1474" spans="3:4" ht="12.75" customHeight="1" x14ac:dyDescent="0.15">
      <c r="C1474" s="3"/>
      <c r="D1474" s="3"/>
    </row>
    <row r="1475" spans="3:4" ht="12.75" customHeight="1" x14ac:dyDescent="0.15">
      <c r="C1475" s="3"/>
      <c r="D1475" s="3"/>
    </row>
    <row r="1476" spans="3:4" ht="12.75" customHeight="1" x14ac:dyDescent="0.15">
      <c r="C1476" s="3"/>
      <c r="D1476" s="3"/>
    </row>
    <row r="1477" spans="3:4" ht="12.75" customHeight="1" x14ac:dyDescent="0.15">
      <c r="C1477" s="3"/>
      <c r="D1477" s="3"/>
    </row>
    <row r="1478" spans="3:4" ht="12.75" customHeight="1" x14ac:dyDescent="0.15">
      <c r="C1478" s="3"/>
      <c r="D1478" s="3"/>
    </row>
    <row r="1479" spans="3:4" ht="12.75" customHeight="1" x14ac:dyDescent="0.15">
      <c r="C1479" s="3"/>
      <c r="D1479" s="3"/>
    </row>
    <row r="1480" spans="3:4" ht="12.75" customHeight="1" x14ac:dyDescent="0.15">
      <c r="C1480" s="3"/>
      <c r="D1480" s="3"/>
    </row>
    <row r="1481" spans="3:4" ht="12.75" customHeight="1" x14ac:dyDescent="0.15">
      <c r="C1481" s="3"/>
      <c r="D1481" s="3"/>
    </row>
    <row r="1482" spans="3:4" ht="12.75" customHeight="1" x14ac:dyDescent="0.15">
      <c r="C1482" s="3"/>
      <c r="D1482" s="3"/>
    </row>
    <row r="1483" spans="3:4" ht="12.75" customHeight="1" x14ac:dyDescent="0.15">
      <c r="C1483" s="3"/>
      <c r="D1483" s="3"/>
    </row>
    <row r="1484" spans="3:4" ht="12.75" customHeight="1" x14ac:dyDescent="0.15">
      <c r="C1484" s="3"/>
      <c r="D1484" s="3"/>
    </row>
    <row r="1485" spans="3:4" ht="12.75" customHeight="1" x14ac:dyDescent="0.15">
      <c r="C1485" s="3"/>
      <c r="D1485" s="3"/>
    </row>
    <row r="1486" spans="3:4" ht="12.75" customHeight="1" x14ac:dyDescent="0.15">
      <c r="C1486" s="3"/>
      <c r="D1486" s="3"/>
    </row>
    <row r="1487" spans="3:4" ht="12.75" customHeight="1" x14ac:dyDescent="0.15">
      <c r="C1487" s="3"/>
      <c r="D1487" s="3"/>
    </row>
    <row r="1488" spans="3:4" ht="12.75" customHeight="1" x14ac:dyDescent="0.15">
      <c r="C1488" s="3"/>
      <c r="D1488" s="3"/>
    </row>
    <row r="1489" spans="3:4" ht="12.75" customHeight="1" x14ac:dyDescent="0.15">
      <c r="C1489" s="3"/>
      <c r="D1489" s="3"/>
    </row>
    <row r="1490" spans="3:4" ht="12.75" customHeight="1" x14ac:dyDescent="0.15">
      <c r="C1490" s="3"/>
      <c r="D1490" s="3"/>
    </row>
    <row r="1491" spans="3:4" ht="12.75" customHeight="1" x14ac:dyDescent="0.15">
      <c r="C1491" s="3"/>
      <c r="D1491" s="3"/>
    </row>
    <row r="1492" spans="3:4" ht="12.75" customHeight="1" x14ac:dyDescent="0.15">
      <c r="C1492" s="3"/>
      <c r="D1492" s="3"/>
    </row>
    <row r="1493" spans="3:4" ht="12.75" customHeight="1" x14ac:dyDescent="0.15">
      <c r="C1493" s="3"/>
      <c r="D1493" s="3"/>
    </row>
    <row r="1494" spans="3:4" ht="12.75" customHeight="1" x14ac:dyDescent="0.15">
      <c r="C1494" s="3"/>
      <c r="D1494" s="3"/>
    </row>
    <row r="1495" spans="3:4" ht="12.75" customHeight="1" x14ac:dyDescent="0.15">
      <c r="C1495" s="3"/>
      <c r="D1495" s="3"/>
    </row>
    <row r="1496" spans="3:4" ht="12.75" customHeight="1" x14ac:dyDescent="0.15">
      <c r="C1496" s="3"/>
      <c r="D1496" s="3"/>
    </row>
    <row r="1497" spans="3:4" ht="12.75" customHeight="1" x14ac:dyDescent="0.15">
      <c r="C1497" s="3"/>
      <c r="D1497" s="3"/>
    </row>
    <row r="1498" spans="3:4" ht="12.75" customHeight="1" x14ac:dyDescent="0.15">
      <c r="C1498" s="3"/>
      <c r="D1498" s="3"/>
    </row>
    <row r="1499" spans="3:4" ht="12.75" customHeight="1" x14ac:dyDescent="0.15">
      <c r="C1499" s="3"/>
      <c r="D1499" s="3"/>
    </row>
    <row r="1500" spans="3:4" ht="12.75" customHeight="1" x14ac:dyDescent="0.15">
      <c r="C1500" s="3"/>
      <c r="D1500" s="3"/>
    </row>
    <row r="1501" spans="3:4" ht="12.75" customHeight="1" x14ac:dyDescent="0.15">
      <c r="C1501" s="3"/>
      <c r="D1501" s="3"/>
    </row>
    <row r="1502" spans="3:4" ht="12.75" customHeight="1" x14ac:dyDescent="0.15">
      <c r="C1502" s="3"/>
      <c r="D1502" s="3"/>
    </row>
    <row r="1503" spans="3:4" ht="12.75" customHeight="1" x14ac:dyDescent="0.15">
      <c r="C1503" s="3"/>
      <c r="D1503" s="3"/>
    </row>
    <row r="1504" spans="3:4" ht="12.75" customHeight="1" x14ac:dyDescent="0.15">
      <c r="C1504" s="3"/>
      <c r="D1504" s="3"/>
    </row>
    <row r="1505" spans="3:4" ht="12.75" customHeight="1" x14ac:dyDescent="0.15">
      <c r="C1505" s="3"/>
      <c r="D1505" s="3"/>
    </row>
    <row r="1506" spans="3:4" ht="12.75" customHeight="1" x14ac:dyDescent="0.15">
      <c r="C1506" s="3"/>
      <c r="D1506" s="3"/>
    </row>
    <row r="1507" spans="3:4" ht="12.75" customHeight="1" x14ac:dyDescent="0.15">
      <c r="C1507" s="3"/>
      <c r="D1507" s="3"/>
    </row>
    <row r="1508" spans="3:4" ht="12.75" customHeight="1" x14ac:dyDescent="0.15">
      <c r="C1508" s="3"/>
      <c r="D1508" s="3"/>
    </row>
    <row r="1509" spans="3:4" ht="12.75" customHeight="1" x14ac:dyDescent="0.15">
      <c r="C1509" s="3"/>
      <c r="D1509" s="3"/>
    </row>
    <row r="1510" spans="3:4" ht="12.75" customHeight="1" x14ac:dyDescent="0.15">
      <c r="C1510" s="3"/>
      <c r="D1510" s="3"/>
    </row>
    <row r="1511" spans="3:4" ht="12.75" customHeight="1" x14ac:dyDescent="0.15">
      <c r="C1511" s="3"/>
      <c r="D1511" s="3"/>
    </row>
    <row r="1512" spans="3:4" ht="12.75" customHeight="1" x14ac:dyDescent="0.15">
      <c r="C1512" s="3"/>
      <c r="D1512" s="3"/>
    </row>
    <row r="1513" spans="3:4" ht="12.75" customHeight="1" x14ac:dyDescent="0.15">
      <c r="C1513" s="3"/>
      <c r="D1513" s="3"/>
    </row>
    <row r="1514" spans="3:4" ht="12.75" customHeight="1" x14ac:dyDescent="0.15">
      <c r="C1514" s="3"/>
      <c r="D1514" s="3"/>
    </row>
    <row r="1515" spans="3:4" ht="12.75" customHeight="1" x14ac:dyDescent="0.15">
      <c r="C1515" s="3"/>
      <c r="D1515" s="3"/>
    </row>
    <row r="1516" spans="3:4" ht="12.75" customHeight="1" x14ac:dyDescent="0.15">
      <c r="C1516" s="3"/>
      <c r="D1516" s="3"/>
    </row>
    <row r="1517" spans="3:4" ht="12.75" customHeight="1" x14ac:dyDescent="0.15">
      <c r="C1517" s="3"/>
      <c r="D1517" s="3"/>
    </row>
    <row r="1518" spans="3:4" ht="12.75" customHeight="1" x14ac:dyDescent="0.15">
      <c r="C1518" s="3"/>
      <c r="D1518" s="3"/>
    </row>
    <row r="1519" spans="3:4" ht="12.75" customHeight="1" x14ac:dyDescent="0.15">
      <c r="C1519" s="3"/>
      <c r="D1519" s="3"/>
    </row>
    <row r="1520" spans="3:4" ht="12.75" customHeight="1" x14ac:dyDescent="0.15">
      <c r="C1520" s="3"/>
      <c r="D1520" s="3"/>
    </row>
    <row r="1521" spans="3:4" ht="12.75" customHeight="1" x14ac:dyDescent="0.15">
      <c r="C1521" s="3"/>
      <c r="D1521" s="3"/>
    </row>
    <row r="1522" spans="3:4" ht="12.75" customHeight="1" x14ac:dyDescent="0.15">
      <c r="C1522" s="3"/>
      <c r="D1522" s="3"/>
    </row>
    <row r="1523" spans="3:4" ht="12.75" customHeight="1" x14ac:dyDescent="0.15">
      <c r="C1523" s="3"/>
      <c r="D1523" s="3"/>
    </row>
    <row r="1524" spans="3:4" ht="12.75" customHeight="1" x14ac:dyDescent="0.15">
      <c r="C1524" s="3"/>
      <c r="D1524" s="3"/>
    </row>
    <row r="1525" spans="3:4" ht="12.75" customHeight="1" x14ac:dyDescent="0.15">
      <c r="C1525" s="3"/>
      <c r="D1525" s="3"/>
    </row>
    <row r="1526" spans="3:4" ht="12.75" customHeight="1" x14ac:dyDescent="0.15">
      <c r="C1526" s="3"/>
      <c r="D1526" s="3"/>
    </row>
    <row r="1527" spans="3:4" ht="12.75" customHeight="1" x14ac:dyDescent="0.15">
      <c r="C1527" s="3"/>
      <c r="D1527" s="3"/>
    </row>
    <row r="1528" spans="3:4" ht="12.75" customHeight="1" x14ac:dyDescent="0.15">
      <c r="C1528" s="3"/>
      <c r="D1528" s="3"/>
    </row>
    <row r="1529" spans="3:4" ht="12.75" customHeight="1" x14ac:dyDescent="0.15">
      <c r="C1529" s="3"/>
      <c r="D1529" s="3"/>
    </row>
    <row r="1530" spans="3:4" ht="12.75" customHeight="1" x14ac:dyDescent="0.15">
      <c r="C1530" s="3"/>
      <c r="D1530" s="3"/>
    </row>
    <row r="1531" spans="3:4" ht="12.75" customHeight="1" x14ac:dyDescent="0.15">
      <c r="C1531" s="3"/>
      <c r="D1531" s="3"/>
    </row>
    <row r="1532" spans="3:4" ht="12.75" customHeight="1" x14ac:dyDescent="0.15">
      <c r="C1532" s="3"/>
      <c r="D1532" s="3"/>
    </row>
    <row r="1533" spans="3:4" ht="12.75" customHeight="1" x14ac:dyDescent="0.15">
      <c r="C1533" s="3"/>
      <c r="D1533" s="3"/>
    </row>
    <row r="1534" spans="3:4" ht="12.75" customHeight="1" x14ac:dyDescent="0.15">
      <c r="C1534" s="3"/>
      <c r="D1534" s="3"/>
    </row>
    <row r="1535" spans="3:4" ht="12.75" customHeight="1" x14ac:dyDescent="0.15">
      <c r="C1535" s="3"/>
      <c r="D1535" s="3"/>
    </row>
    <row r="1536" spans="3:4" ht="12.75" customHeight="1" x14ac:dyDescent="0.15">
      <c r="C1536" s="3"/>
      <c r="D1536" s="3"/>
    </row>
    <row r="1537" spans="3:4" ht="12.75" customHeight="1" x14ac:dyDescent="0.15">
      <c r="C1537" s="3"/>
      <c r="D1537" s="3"/>
    </row>
    <row r="1538" spans="3:4" ht="12.75" customHeight="1" x14ac:dyDescent="0.15">
      <c r="C1538" s="3"/>
      <c r="D1538" s="3"/>
    </row>
    <row r="1539" spans="3:4" ht="12.75" customHeight="1" x14ac:dyDescent="0.15">
      <c r="C1539" s="3"/>
      <c r="D1539" s="3"/>
    </row>
    <row r="1540" spans="3:4" ht="12.75" customHeight="1" x14ac:dyDescent="0.15">
      <c r="C1540" s="3"/>
      <c r="D1540" s="3"/>
    </row>
    <row r="1541" spans="3:4" ht="12.75" customHeight="1" x14ac:dyDescent="0.15">
      <c r="C1541" s="3"/>
      <c r="D1541" s="3"/>
    </row>
    <row r="1542" spans="3:4" ht="12.75" customHeight="1" x14ac:dyDescent="0.15">
      <c r="C1542" s="3"/>
      <c r="D1542" s="3"/>
    </row>
    <row r="1543" spans="3:4" ht="12.75" customHeight="1" x14ac:dyDescent="0.15">
      <c r="C1543" s="3"/>
      <c r="D1543" s="3"/>
    </row>
    <row r="1544" spans="3:4" ht="12.75" customHeight="1" x14ac:dyDescent="0.15">
      <c r="C1544" s="3"/>
      <c r="D1544" s="3"/>
    </row>
    <row r="1545" spans="3:4" ht="12.75" customHeight="1" x14ac:dyDescent="0.15">
      <c r="C1545" s="3"/>
      <c r="D1545" s="3"/>
    </row>
    <row r="1546" spans="3:4" ht="12.75" customHeight="1" x14ac:dyDescent="0.15">
      <c r="C1546" s="3"/>
      <c r="D1546" s="3"/>
    </row>
    <row r="1547" spans="3:4" ht="12.75" customHeight="1" x14ac:dyDescent="0.15">
      <c r="C1547" s="3"/>
      <c r="D1547" s="3"/>
    </row>
    <row r="1548" spans="3:4" ht="12.75" customHeight="1" x14ac:dyDescent="0.15">
      <c r="C1548" s="3"/>
      <c r="D1548" s="3"/>
    </row>
    <row r="1549" spans="3:4" ht="12.75" customHeight="1" x14ac:dyDescent="0.15">
      <c r="C1549" s="3"/>
      <c r="D1549" s="3"/>
    </row>
    <row r="1550" spans="3:4" ht="12.75" customHeight="1" x14ac:dyDescent="0.15">
      <c r="C1550" s="3"/>
      <c r="D1550" s="3"/>
    </row>
    <row r="1551" spans="3:4" ht="12.75" customHeight="1" x14ac:dyDescent="0.15">
      <c r="C1551" s="3"/>
      <c r="D1551" s="3"/>
    </row>
    <row r="1552" spans="3:4" ht="12.75" customHeight="1" x14ac:dyDescent="0.15">
      <c r="C1552" s="3"/>
      <c r="D1552" s="3"/>
    </row>
    <row r="1553" spans="3:4" ht="12.75" customHeight="1" x14ac:dyDescent="0.15">
      <c r="C1553" s="3"/>
      <c r="D1553" s="3"/>
    </row>
    <row r="1554" spans="3:4" ht="12.75" customHeight="1" x14ac:dyDescent="0.15">
      <c r="C1554" s="3"/>
      <c r="D1554" s="3"/>
    </row>
    <row r="1555" spans="3:4" ht="12.75" customHeight="1" x14ac:dyDescent="0.15">
      <c r="C1555" s="3"/>
      <c r="D1555" s="3"/>
    </row>
    <row r="1556" spans="3:4" ht="12.75" customHeight="1" x14ac:dyDescent="0.15">
      <c r="C1556" s="3"/>
      <c r="D1556" s="3"/>
    </row>
    <row r="1557" spans="3:4" ht="12.75" customHeight="1" x14ac:dyDescent="0.15">
      <c r="C1557" s="3"/>
      <c r="D1557" s="3"/>
    </row>
    <row r="1558" spans="3:4" ht="12.75" customHeight="1" x14ac:dyDescent="0.15">
      <c r="C1558" s="3"/>
      <c r="D1558" s="3"/>
    </row>
    <row r="1559" spans="3:4" ht="12.75" customHeight="1" x14ac:dyDescent="0.15">
      <c r="C1559" s="3"/>
      <c r="D1559" s="3"/>
    </row>
    <row r="1560" spans="3:4" ht="12.75" customHeight="1" x14ac:dyDescent="0.15">
      <c r="C1560" s="3"/>
      <c r="D1560" s="3"/>
    </row>
    <row r="1561" spans="3:4" ht="12.75" customHeight="1" x14ac:dyDescent="0.15">
      <c r="C1561" s="3"/>
      <c r="D1561" s="3"/>
    </row>
    <row r="1562" spans="3:4" ht="12.75" customHeight="1" x14ac:dyDescent="0.15">
      <c r="C1562" s="3"/>
      <c r="D1562" s="3"/>
    </row>
    <row r="1563" spans="3:4" ht="12.75" customHeight="1" x14ac:dyDescent="0.15">
      <c r="C1563" s="3"/>
      <c r="D1563" s="3"/>
    </row>
    <row r="1564" spans="3:4" ht="12.75" customHeight="1" x14ac:dyDescent="0.15">
      <c r="C1564" s="3"/>
      <c r="D1564" s="3"/>
    </row>
    <row r="1565" spans="3:4" ht="12.75" customHeight="1" x14ac:dyDescent="0.15">
      <c r="C1565" s="3"/>
      <c r="D1565" s="3"/>
    </row>
    <row r="1566" spans="3:4" ht="12.75" customHeight="1" x14ac:dyDescent="0.15">
      <c r="C1566" s="3"/>
      <c r="D1566" s="3"/>
    </row>
    <row r="1567" spans="3:4" ht="12.75" customHeight="1" x14ac:dyDescent="0.15">
      <c r="C1567" s="3"/>
      <c r="D1567" s="3"/>
    </row>
    <row r="1568" spans="3:4" ht="12.75" customHeight="1" x14ac:dyDescent="0.15">
      <c r="C1568" s="3"/>
      <c r="D1568" s="3"/>
    </row>
    <row r="1569" spans="3:4" ht="12.75" customHeight="1" x14ac:dyDescent="0.15">
      <c r="C1569" s="3"/>
      <c r="D1569" s="3"/>
    </row>
    <row r="1570" spans="3:4" ht="12.75" customHeight="1" x14ac:dyDescent="0.15">
      <c r="C1570" s="3"/>
      <c r="D1570" s="3"/>
    </row>
    <row r="1571" spans="3:4" ht="12.75" customHeight="1" x14ac:dyDescent="0.15">
      <c r="C1571" s="3"/>
      <c r="D1571" s="3"/>
    </row>
    <row r="1572" spans="3:4" ht="12.75" customHeight="1" x14ac:dyDescent="0.15">
      <c r="C1572" s="3"/>
      <c r="D1572" s="3"/>
    </row>
    <row r="1573" spans="3:4" ht="12.75" customHeight="1" x14ac:dyDescent="0.15">
      <c r="C1573" s="3"/>
      <c r="D1573" s="3"/>
    </row>
    <row r="1574" spans="3:4" ht="12.75" customHeight="1" x14ac:dyDescent="0.15">
      <c r="C1574" s="3"/>
      <c r="D1574" s="3"/>
    </row>
    <row r="1575" spans="3:4" ht="12.75" customHeight="1" x14ac:dyDescent="0.15">
      <c r="C1575" s="3"/>
      <c r="D1575" s="3"/>
    </row>
    <row r="1576" spans="3:4" ht="12.75" customHeight="1" x14ac:dyDescent="0.15">
      <c r="C1576" s="3"/>
      <c r="D1576" s="3"/>
    </row>
    <row r="1577" spans="3:4" ht="12.75" customHeight="1" x14ac:dyDescent="0.15">
      <c r="C1577" s="3"/>
      <c r="D1577" s="3"/>
    </row>
    <row r="1578" spans="3:4" ht="12.75" customHeight="1" x14ac:dyDescent="0.15">
      <c r="C1578" s="3"/>
      <c r="D1578" s="3"/>
    </row>
    <row r="1579" spans="3:4" ht="12.75" customHeight="1" x14ac:dyDescent="0.15">
      <c r="C1579" s="3"/>
      <c r="D1579" s="3"/>
    </row>
    <row r="1580" spans="3:4" ht="12.75" customHeight="1" x14ac:dyDescent="0.15">
      <c r="C1580" s="3"/>
      <c r="D1580" s="3"/>
    </row>
    <row r="1581" spans="3:4" ht="12.75" customHeight="1" x14ac:dyDescent="0.15">
      <c r="C1581" s="3"/>
      <c r="D1581" s="3"/>
    </row>
    <row r="1582" spans="3:4" ht="12.75" customHeight="1" x14ac:dyDescent="0.15">
      <c r="C1582" s="3"/>
      <c r="D1582" s="3"/>
    </row>
    <row r="1583" spans="3:4" ht="12.75" customHeight="1" x14ac:dyDescent="0.15">
      <c r="C1583" s="3"/>
      <c r="D1583" s="3"/>
    </row>
    <row r="1584" spans="3:4" ht="12.75" customHeight="1" x14ac:dyDescent="0.15">
      <c r="C1584" s="3"/>
      <c r="D1584" s="3"/>
    </row>
    <row r="1585" spans="3:4" ht="12.75" customHeight="1" x14ac:dyDescent="0.15">
      <c r="C1585" s="3"/>
      <c r="D1585" s="3"/>
    </row>
    <row r="1586" spans="3:4" ht="12.75" customHeight="1" x14ac:dyDescent="0.15">
      <c r="C1586" s="3"/>
      <c r="D1586" s="3"/>
    </row>
    <row r="1587" spans="3:4" ht="12.75" customHeight="1" x14ac:dyDescent="0.15">
      <c r="C1587" s="3"/>
      <c r="D1587" s="3"/>
    </row>
    <row r="1588" spans="3:4" ht="12.75" customHeight="1" x14ac:dyDescent="0.15">
      <c r="C1588" s="3"/>
      <c r="D1588" s="3"/>
    </row>
    <row r="1589" spans="3:4" ht="12.75" customHeight="1" x14ac:dyDescent="0.15">
      <c r="C1589" s="3"/>
      <c r="D1589" s="3"/>
    </row>
    <row r="1590" spans="3:4" ht="12.75" customHeight="1" x14ac:dyDescent="0.15">
      <c r="C1590" s="3"/>
      <c r="D1590" s="3"/>
    </row>
    <row r="1591" spans="3:4" ht="12.75" customHeight="1" x14ac:dyDescent="0.15">
      <c r="C1591" s="3"/>
      <c r="D1591" s="3"/>
    </row>
    <row r="1592" spans="3:4" ht="12.75" customHeight="1" x14ac:dyDescent="0.15">
      <c r="C1592" s="3"/>
      <c r="D1592" s="3"/>
    </row>
    <row r="1593" spans="3:4" ht="12.75" customHeight="1" x14ac:dyDescent="0.15">
      <c r="C1593" s="3"/>
      <c r="D1593" s="3"/>
    </row>
    <row r="1594" spans="3:4" ht="12.75" customHeight="1" x14ac:dyDescent="0.15">
      <c r="C1594" s="3"/>
      <c r="D1594" s="3"/>
    </row>
    <row r="1595" spans="3:4" ht="12.75" customHeight="1" x14ac:dyDescent="0.15">
      <c r="C1595" s="3"/>
      <c r="D1595" s="3"/>
    </row>
    <row r="1596" spans="3:4" ht="12.75" customHeight="1" x14ac:dyDescent="0.15">
      <c r="C1596" s="3"/>
      <c r="D1596" s="3"/>
    </row>
    <row r="1597" spans="3:4" ht="12.75" customHeight="1" x14ac:dyDescent="0.15">
      <c r="C1597" s="3"/>
      <c r="D1597" s="3"/>
    </row>
    <row r="1598" spans="3:4" ht="12.75" customHeight="1" x14ac:dyDescent="0.15">
      <c r="C1598" s="3"/>
      <c r="D1598" s="3"/>
    </row>
    <row r="1599" spans="3:4" ht="12.75" customHeight="1" x14ac:dyDescent="0.15">
      <c r="C1599" s="3"/>
      <c r="D1599" s="3"/>
    </row>
    <row r="1600" spans="3:4" ht="12.75" customHeight="1" x14ac:dyDescent="0.15">
      <c r="C1600" s="3"/>
      <c r="D1600" s="3"/>
    </row>
    <row r="1601" spans="3:4" ht="12.75" customHeight="1" x14ac:dyDescent="0.15">
      <c r="C1601" s="3"/>
      <c r="D1601" s="3"/>
    </row>
    <row r="1602" spans="3:4" ht="12.75" customHeight="1" x14ac:dyDescent="0.15">
      <c r="C1602" s="3"/>
      <c r="D1602" s="3"/>
    </row>
    <row r="1603" spans="3:4" ht="12.75" customHeight="1" x14ac:dyDescent="0.15">
      <c r="C1603" s="3"/>
      <c r="D1603" s="3"/>
    </row>
    <row r="1604" spans="3:4" ht="12.75" customHeight="1" x14ac:dyDescent="0.15">
      <c r="C1604" s="3"/>
      <c r="D1604" s="3"/>
    </row>
    <row r="1605" spans="3:4" ht="12.75" customHeight="1" x14ac:dyDescent="0.15">
      <c r="C1605" s="3"/>
      <c r="D1605" s="3"/>
    </row>
    <row r="1606" spans="3:4" ht="12.75" customHeight="1" x14ac:dyDescent="0.15">
      <c r="C1606" s="3"/>
      <c r="D1606" s="3"/>
    </row>
    <row r="1607" spans="3:4" ht="12.75" customHeight="1" x14ac:dyDescent="0.15">
      <c r="C1607" s="3"/>
      <c r="D1607" s="3"/>
    </row>
    <row r="1608" spans="3:4" ht="12.75" customHeight="1" x14ac:dyDescent="0.15">
      <c r="C1608" s="3"/>
      <c r="D1608" s="3"/>
    </row>
    <row r="1609" spans="3:4" ht="12.75" customHeight="1" x14ac:dyDescent="0.15">
      <c r="C1609" s="3"/>
      <c r="D1609" s="3"/>
    </row>
    <row r="1610" spans="3:4" ht="12.75" customHeight="1" x14ac:dyDescent="0.15">
      <c r="C1610" s="3"/>
      <c r="D1610" s="3"/>
    </row>
    <row r="1611" spans="3:4" ht="12.75" customHeight="1" x14ac:dyDescent="0.15">
      <c r="C1611" s="3"/>
      <c r="D1611" s="3"/>
    </row>
    <row r="1612" spans="3:4" ht="12.75" customHeight="1" x14ac:dyDescent="0.15">
      <c r="C1612" s="3"/>
      <c r="D1612" s="3"/>
    </row>
    <row r="1613" spans="3:4" ht="12.75" customHeight="1" x14ac:dyDescent="0.15">
      <c r="C1613" s="3"/>
      <c r="D1613" s="3"/>
    </row>
    <row r="1614" spans="3:4" ht="12.75" customHeight="1" x14ac:dyDescent="0.15">
      <c r="C1614" s="3"/>
      <c r="D1614" s="3"/>
    </row>
    <row r="1615" spans="3:4" ht="12.75" customHeight="1" x14ac:dyDescent="0.15">
      <c r="C1615" s="3"/>
      <c r="D1615" s="3"/>
    </row>
    <row r="1616" spans="3:4" ht="12.75" customHeight="1" x14ac:dyDescent="0.15">
      <c r="C1616" s="3"/>
      <c r="D1616" s="3"/>
    </row>
    <row r="1617" spans="3:4" ht="12.75" customHeight="1" x14ac:dyDescent="0.15">
      <c r="C1617" s="3"/>
      <c r="D1617" s="3"/>
    </row>
  </sheetData>
  <mergeCells count="8">
    <mergeCell ref="I4:J4"/>
    <mergeCell ref="B2:F2"/>
    <mergeCell ref="B3:F3"/>
    <mergeCell ref="A7:A8"/>
    <mergeCell ref="D7:D8"/>
    <mergeCell ref="B7:B8"/>
    <mergeCell ref="C7:C8"/>
    <mergeCell ref="E7:F7"/>
  </mergeCells>
  <phoneticPr fontId="0" type="noConversion"/>
  <pageMargins left="0.75" right="0.75" top="0.67" bottom="1" header="0.33" footer="0.5"/>
  <pageSetup paperSize="9" scale="7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showGridLines="0" workbookViewId="0">
      <selection activeCell="C9" sqref="C9"/>
    </sheetView>
  </sheetViews>
  <sheetFormatPr defaultRowHeight="12.75" customHeight="1" outlineLevelRow="1" x14ac:dyDescent="0.3"/>
  <cols>
    <col min="1" max="1" width="31" style="210" customWidth="1"/>
    <col min="2" max="2" width="8.7109375" style="210" hidden="1" customWidth="1"/>
    <col min="3" max="3" width="16.42578125" style="211" customWidth="1"/>
    <col min="4" max="4" width="18" style="211" customWidth="1"/>
    <col min="5" max="5" width="17.42578125" style="211" customWidth="1"/>
    <col min="6" max="6" width="14.140625" style="210" customWidth="1"/>
    <col min="7" max="7" width="13.7109375" style="210" bestFit="1" customWidth="1"/>
    <col min="8" max="8" width="15.42578125" style="210" customWidth="1"/>
    <col min="9" max="9" width="9.140625" style="210"/>
    <col min="10" max="10" width="13.28515625" style="210" bestFit="1" customWidth="1"/>
    <col min="11" max="11" width="14.85546875" style="210" bestFit="1" customWidth="1"/>
    <col min="12" max="16384" width="9.140625" style="210"/>
  </cols>
  <sheetData>
    <row r="1" spans="1:5" ht="12.75" customHeight="1" x14ac:dyDescent="0.3">
      <c r="A1" s="209" t="s">
        <v>422</v>
      </c>
    </row>
    <row r="3" spans="1:5" ht="12.75" customHeight="1" outlineLevel="1" x14ac:dyDescent="0.3">
      <c r="A3" s="209" t="s">
        <v>423</v>
      </c>
    </row>
    <row r="4" spans="1:5" ht="12.75" customHeight="1" outlineLevel="1" x14ac:dyDescent="0.3">
      <c r="A4" s="393" t="s">
        <v>424</v>
      </c>
      <c r="B4" s="395"/>
      <c r="C4" s="397" t="s">
        <v>425</v>
      </c>
      <c r="D4" s="397" t="s">
        <v>426</v>
      </c>
      <c r="E4" s="399" t="s">
        <v>427</v>
      </c>
    </row>
    <row r="5" spans="1:5" ht="12.75" customHeight="1" outlineLevel="1" x14ac:dyDescent="0.3">
      <c r="A5" s="394"/>
      <c r="B5" s="396"/>
      <c r="C5" s="398"/>
      <c r="D5" s="398"/>
      <c r="E5" s="400"/>
    </row>
    <row r="6" spans="1:5" ht="12.75" customHeight="1" outlineLevel="1" x14ac:dyDescent="0.3">
      <c r="A6" s="394"/>
      <c r="B6" s="396"/>
      <c r="C6" s="398"/>
      <c r="D6" s="398"/>
      <c r="E6" s="400"/>
    </row>
    <row r="7" spans="1:5" ht="12.75" customHeight="1" outlineLevel="1" x14ac:dyDescent="0.3">
      <c r="A7" s="212" t="s">
        <v>428</v>
      </c>
      <c r="B7" s="212" t="s">
        <v>429</v>
      </c>
      <c r="C7" s="213">
        <v>9500000</v>
      </c>
      <c r="D7" s="213">
        <v>4625162.16</v>
      </c>
      <c r="E7" s="213">
        <f>C7-D7</f>
        <v>4874837.84</v>
      </c>
    </row>
    <row r="8" spans="1:5" ht="12.75" customHeight="1" outlineLevel="1" x14ac:dyDescent="0.3">
      <c r="A8" s="214" t="s">
        <v>430</v>
      </c>
      <c r="B8" s="214" t="s">
        <v>431</v>
      </c>
      <c r="C8" s="215">
        <v>41500600</v>
      </c>
      <c r="D8" s="215">
        <v>0</v>
      </c>
      <c r="E8" s="215">
        <f>C8-D8</f>
        <v>41500600</v>
      </c>
    </row>
    <row r="9" spans="1:5" ht="12.75" customHeight="1" outlineLevel="1" x14ac:dyDescent="0.3">
      <c r="A9" s="214" t="s">
        <v>432</v>
      </c>
      <c r="B9" s="214" t="s">
        <v>433</v>
      </c>
      <c r="C9" s="215">
        <v>0</v>
      </c>
      <c r="D9" s="215">
        <v>0</v>
      </c>
      <c r="E9" s="215">
        <f t="shared" ref="E9:E15" si="0">C9-D9</f>
        <v>0</v>
      </c>
    </row>
    <row r="10" spans="1:5" ht="12.75" customHeight="1" outlineLevel="1" x14ac:dyDescent="0.3">
      <c r="A10" s="214" t="s">
        <v>434</v>
      </c>
      <c r="B10" s="214" t="s">
        <v>435</v>
      </c>
      <c r="C10" s="215">
        <v>0</v>
      </c>
      <c r="D10" s="215">
        <v>0</v>
      </c>
      <c r="E10" s="215">
        <f>C10-D10</f>
        <v>0</v>
      </c>
    </row>
    <row r="11" spans="1:5" ht="12.75" customHeight="1" outlineLevel="1" x14ac:dyDescent="0.3">
      <c r="A11" s="214" t="s">
        <v>436</v>
      </c>
      <c r="B11" s="214" t="s">
        <v>437</v>
      </c>
      <c r="C11" s="215">
        <v>0</v>
      </c>
      <c r="D11" s="215">
        <v>0</v>
      </c>
      <c r="E11" s="215">
        <f t="shared" si="0"/>
        <v>0</v>
      </c>
    </row>
    <row r="12" spans="1:5" ht="12.75" customHeight="1" outlineLevel="1" x14ac:dyDescent="0.3">
      <c r="A12" s="214" t="s">
        <v>438</v>
      </c>
      <c r="B12" s="214" t="s">
        <v>439</v>
      </c>
      <c r="C12" s="215">
        <v>0</v>
      </c>
      <c r="D12" s="215">
        <v>0</v>
      </c>
      <c r="E12" s="215">
        <f t="shared" si="0"/>
        <v>0</v>
      </c>
    </row>
    <row r="13" spans="1:5" ht="12.75" customHeight="1" outlineLevel="1" x14ac:dyDescent="0.3">
      <c r="A13" s="214" t="s">
        <v>440</v>
      </c>
      <c r="B13" s="214" t="s">
        <v>441</v>
      </c>
      <c r="C13" s="215">
        <v>0</v>
      </c>
      <c r="D13" s="215">
        <v>0</v>
      </c>
      <c r="E13" s="215">
        <f t="shared" si="0"/>
        <v>0</v>
      </c>
    </row>
    <row r="14" spans="1:5" ht="12.75" customHeight="1" outlineLevel="1" x14ac:dyDescent="0.3">
      <c r="A14" s="214" t="s">
        <v>442</v>
      </c>
      <c r="B14" s="214" t="s">
        <v>443</v>
      </c>
      <c r="C14" s="215">
        <v>0</v>
      </c>
      <c r="D14" s="215">
        <v>0</v>
      </c>
      <c r="E14" s="215">
        <f t="shared" si="0"/>
        <v>0</v>
      </c>
    </row>
    <row r="15" spans="1:5" ht="12.75" customHeight="1" outlineLevel="1" x14ac:dyDescent="0.3">
      <c r="A15" s="214" t="s">
        <v>444</v>
      </c>
      <c r="B15" s="214">
        <v>147</v>
      </c>
      <c r="C15" s="215">
        <v>0</v>
      </c>
      <c r="D15" s="215">
        <v>0</v>
      </c>
      <c r="E15" s="215">
        <f t="shared" si="0"/>
        <v>0</v>
      </c>
    </row>
    <row r="16" spans="1:5" ht="12.75" customHeight="1" outlineLevel="1" x14ac:dyDescent="0.3">
      <c r="A16" s="214"/>
      <c r="B16" s="214"/>
      <c r="C16" s="215"/>
      <c r="D16" s="215"/>
      <c r="E16" s="215"/>
    </row>
    <row r="17" spans="1:6" ht="12.75" customHeight="1" outlineLevel="1" x14ac:dyDescent="0.3">
      <c r="A17" s="216" t="s">
        <v>445</v>
      </c>
      <c r="B17" s="216"/>
      <c r="C17" s="217">
        <f>SUM(C7:C15)</f>
        <v>51000600</v>
      </c>
      <c r="D17" s="217">
        <f>SUM(D7:D15)</f>
        <v>4625162.16</v>
      </c>
      <c r="E17" s="217">
        <f>SUM(E7:E15)</f>
        <v>46375437.840000004</v>
      </c>
    </row>
    <row r="19" spans="1:6" ht="12.75" hidden="1" customHeight="1" outlineLevel="1" x14ac:dyDescent="0.3">
      <c r="A19" s="209" t="s">
        <v>446</v>
      </c>
    </row>
    <row r="20" spans="1:6" ht="12.75" hidden="1" customHeight="1" outlineLevel="1" x14ac:dyDescent="0.3">
      <c r="A20" s="390" t="s">
        <v>424</v>
      </c>
      <c r="B20" s="390"/>
      <c r="C20" s="392" t="s">
        <v>427</v>
      </c>
      <c r="D20" s="392"/>
      <c r="E20" s="392"/>
      <c r="F20" s="210" t="s">
        <v>447</v>
      </c>
    </row>
    <row r="21" spans="1:6" ht="24" hidden="1" customHeight="1" outlineLevel="1" x14ac:dyDescent="0.3">
      <c r="A21" s="391"/>
      <c r="B21" s="391"/>
      <c r="C21" s="218" t="s">
        <v>448</v>
      </c>
      <c r="D21" s="218" t="s">
        <v>449</v>
      </c>
      <c r="E21" s="218" t="s">
        <v>445</v>
      </c>
    </row>
    <row r="22" spans="1:6" ht="12.75" hidden="1" customHeight="1" outlineLevel="1" x14ac:dyDescent="0.3">
      <c r="A22" s="212" t="s">
        <v>428</v>
      </c>
      <c r="B22" s="212" t="s">
        <v>429</v>
      </c>
      <c r="C22" s="213"/>
      <c r="D22" s="219"/>
      <c r="E22" s="213">
        <f t="shared" ref="E22:E30" si="1">C22-D22</f>
        <v>0</v>
      </c>
    </row>
    <row r="23" spans="1:6" ht="12.75" hidden="1" customHeight="1" outlineLevel="1" x14ac:dyDescent="0.3">
      <c r="A23" s="214" t="s">
        <v>430</v>
      </c>
      <c r="B23" s="214" t="s">
        <v>431</v>
      </c>
      <c r="C23" s="215"/>
      <c r="D23" s="215"/>
      <c r="E23" s="215">
        <f t="shared" si="1"/>
        <v>0</v>
      </c>
    </row>
    <row r="24" spans="1:6" ht="12.75" hidden="1" customHeight="1" outlineLevel="1" x14ac:dyDescent="0.3">
      <c r="A24" s="214" t="s">
        <v>432</v>
      </c>
      <c r="B24" s="214" t="s">
        <v>433</v>
      </c>
      <c r="C24" s="215"/>
      <c r="D24" s="215"/>
      <c r="E24" s="215">
        <f t="shared" si="1"/>
        <v>0</v>
      </c>
    </row>
    <row r="25" spans="1:6" ht="12.75" hidden="1" customHeight="1" outlineLevel="1" x14ac:dyDescent="0.3">
      <c r="A25" s="214" t="s">
        <v>434</v>
      </c>
      <c r="B25" s="214" t="s">
        <v>435</v>
      </c>
      <c r="C25" s="215"/>
      <c r="D25" s="215"/>
      <c r="E25" s="215">
        <f t="shared" si="1"/>
        <v>0</v>
      </c>
    </row>
    <row r="26" spans="1:6" ht="12.75" hidden="1" customHeight="1" outlineLevel="1" x14ac:dyDescent="0.3">
      <c r="A26" s="214" t="s">
        <v>436</v>
      </c>
      <c r="B26" s="214" t="s">
        <v>437</v>
      </c>
      <c r="C26" s="215"/>
      <c r="D26" s="215"/>
      <c r="E26" s="215">
        <f t="shared" si="1"/>
        <v>0</v>
      </c>
    </row>
    <row r="27" spans="1:6" ht="12.75" hidden="1" customHeight="1" outlineLevel="1" x14ac:dyDescent="0.3">
      <c r="A27" s="214" t="s">
        <v>440</v>
      </c>
      <c r="B27" s="214" t="s">
        <v>439</v>
      </c>
      <c r="C27" s="215"/>
      <c r="D27" s="215"/>
      <c r="E27" s="215">
        <f t="shared" si="1"/>
        <v>0</v>
      </c>
    </row>
    <row r="28" spans="1:6" ht="12.75" hidden="1" customHeight="1" outlineLevel="1" x14ac:dyDescent="0.3">
      <c r="A28" s="214" t="s">
        <v>438</v>
      </c>
      <c r="B28" s="214" t="s">
        <v>441</v>
      </c>
      <c r="C28" s="215"/>
      <c r="D28" s="215"/>
      <c r="E28" s="215">
        <f t="shared" si="1"/>
        <v>0</v>
      </c>
    </row>
    <row r="29" spans="1:6" ht="12.75" hidden="1" customHeight="1" outlineLevel="1" x14ac:dyDescent="0.3">
      <c r="A29" s="214" t="s">
        <v>442</v>
      </c>
      <c r="B29" s="214" t="s">
        <v>443</v>
      </c>
      <c r="C29" s="215"/>
      <c r="D29" s="215"/>
      <c r="E29" s="215">
        <f t="shared" si="1"/>
        <v>0</v>
      </c>
    </row>
    <row r="30" spans="1:6" ht="12.75" hidden="1" customHeight="1" outlineLevel="1" x14ac:dyDescent="0.3">
      <c r="A30" s="214" t="s">
        <v>444</v>
      </c>
      <c r="B30" s="214">
        <v>147</v>
      </c>
      <c r="C30" s="215"/>
      <c r="D30" s="215"/>
      <c r="E30" s="215">
        <f t="shared" si="1"/>
        <v>0</v>
      </c>
    </row>
    <row r="31" spans="1:6" ht="12.75" hidden="1" customHeight="1" outlineLevel="1" x14ac:dyDescent="0.3">
      <c r="A31" s="220" t="s">
        <v>445</v>
      </c>
      <c r="B31" s="220"/>
      <c r="C31" s="221">
        <f>SUM(C22:C30)</f>
        <v>0</v>
      </c>
      <c r="D31" s="221">
        <f>SUM(D22:D30)</f>
        <v>0</v>
      </c>
      <c r="E31" s="221">
        <f>SUM(E22:E30)</f>
        <v>0</v>
      </c>
    </row>
    <row r="32" spans="1:6" ht="12.75" customHeight="1" collapsed="1" x14ac:dyDescent="0.3"/>
    <row r="33" spans="1:8" ht="12.75" customHeight="1" outlineLevel="1" x14ac:dyDescent="0.3">
      <c r="A33" s="209" t="s">
        <v>450</v>
      </c>
      <c r="G33" s="210" t="s">
        <v>451</v>
      </c>
    </row>
    <row r="34" spans="1:8" ht="27.75" customHeight="1" outlineLevel="1" x14ac:dyDescent="0.3">
      <c r="A34" s="222" t="s">
        <v>424</v>
      </c>
      <c r="B34" s="223"/>
      <c r="C34" s="224" t="s">
        <v>452</v>
      </c>
      <c r="D34" s="224" t="s">
        <v>453</v>
      </c>
      <c r="E34" s="224" t="s">
        <v>454</v>
      </c>
      <c r="F34" s="223" t="s">
        <v>455</v>
      </c>
      <c r="G34" s="223" t="s">
        <v>456</v>
      </c>
      <c r="H34" s="225" t="s">
        <v>457</v>
      </c>
    </row>
    <row r="35" spans="1:8" ht="12.75" customHeight="1" outlineLevel="1" x14ac:dyDescent="0.3">
      <c r="A35" s="212" t="s">
        <v>428</v>
      </c>
      <c r="B35" s="212">
        <v>111</v>
      </c>
      <c r="C35" s="213">
        <v>0</v>
      </c>
      <c r="D35" s="213">
        <v>0</v>
      </c>
      <c r="E35" s="213">
        <v>0</v>
      </c>
      <c r="F35" s="213">
        <v>0</v>
      </c>
      <c r="G35" s="226">
        <v>0</v>
      </c>
      <c r="H35" s="213">
        <f>+C35+D35+E35-F35+G35</f>
        <v>0</v>
      </c>
    </row>
    <row r="36" spans="1:8" ht="12.75" customHeight="1" outlineLevel="1" x14ac:dyDescent="0.3">
      <c r="A36" s="214" t="s">
        <v>430</v>
      </c>
      <c r="B36" s="214">
        <v>112</v>
      </c>
      <c r="C36" s="215">
        <v>0</v>
      </c>
      <c r="D36" s="215">
        <v>0</v>
      </c>
      <c r="E36" s="215">
        <v>0</v>
      </c>
      <c r="F36" s="213">
        <v>0</v>
      </c>
      <c r="G36" s="226">
        <v>0</v>
      </c>
      <c r="H36" s="215">
        <f>+C36+D36+E36-F36+G36+0</f>
        <v>0</v>
      </c>
    </row>
    <row r="37" spans="1:8" ht="12.75" customHeight="1" outlineLevel="1" x14ac:dyDescent="0.3">
      <c r="A37" s="214" t="s">
        <v>432</v>
      </c>
      <c r="B37" s="214">
        <v>113</v>
      </c>
      <c r="C37" s="215">
        <v>0</v>
      </c>
      <c r="D37" s="215">
        <v>0</v>
      </c>
      <c r="E37" s="215">
        <v>0</v>
      </c>
      <c r="F37" s="213">
        <v>0</v>
      </c>
      <c r="G37" s="227">
        <v>0</v>
      </c>
      <c r="H37" s="215">
        <f>+C37+D37+E37+F37-G37+0</f>
        <v>0</v>
      </c>
    </row>
    <row r="38" spans="1:8" ht="12.75" customHeight="1" outlineLevel="1" x14ac:dyDescent="0.3">
      <c r="A38" s="214" t="s">
        <v>434</v>
      </c>
      <c r="B38" s="214">
        <v>114</v>
      </c>
      <c r="C38" s="215">
        <v>0</v>
      </c>
      <c r="D38" s="215">
        <v>0</v>
      </c>
      <c r="E38" s="215">
        <v>0</v>
      </c>
      <c r="F38" s="213">
        <v>0</v>
      </c>
      <c r="G38" s="226">
        <v>0</v>
      </c>
      <c r="H38" s="215">
        <f>+C38+D38+E38+F38+G38+0</f>
        <v>0</v>
      </c>
    </row>
    <row r="39" spans="1:8" ht="12.75" customHeight="1" outlineLevel="1" x14ac:dyDescent="0.3">
      <c r="A39" s="214" t="s">
        <v>436</v>
      </c>
      <c r="B39" s="214">
        <v>115</v>
      </c>
      <c r="C39" s="215">
        <v>0</v>
      </c>
      <c r="D39" s="215">
        <v>0</v>
      </c>
      <c r="E39" s="215">
        <v>0</v>
      </c>
      <c r="F39" s="213">
        <v>0</v>
      </c>
      <c r="G39" s="226">
        <v>0</v>
      </c>
      <c r="H39" s="215">
        <f>+C39+D39+E39-F39+G39</f>
        <v>0</v>
      </c>
    </row>
    <row r="40" spans="1:8" ht="12.75" customHeight="1" outlineLevel="1" x14ac:dyDescent="0.3">
      <c r="A40" s="214" t="s">
        <v>440</v>
      </c>
      <c r="B40" s="214">
        <v>119</v>
      </c>
      <c r="C40" s="215">
        <v>0</v>
      </c>
      <c r="D40" s="215">
        <v>0</v>
      </c>
      <c r="E40" s="215">
        <v>0</v>
      </c>
      <c r="F40" s="213">
        <v>0</v>
      </c>
      <c r="G40" s="226">
        <v>0</v>
      </c>
      <c r="H40" s="213">
        <f>+C40+D40+E40-F40+G40</f>
        <v>0</v>
      </c>
    </row>
    <row r="41" spans="1:8" ht="12.75" customHeight="1" outlineLevel="1" x14ac:dyDescent="0.3">
      <c r="A41" s="214" t="s">
        <v>438</v>
      </c>
      <c r="B41" s="214">
        <v>116</v>
      </c>
      <c r="C41" s="215">
        <v>0</v>
      </c>
      <c r="D41" s="215">
        <v>0</v>
      </c>
      <c r="E41" s="215">
        <v>0</v>
      </c>
      <c r="F41" s="213">
        <v>0</v>
      </c>
      <c r="G41" s="226">
        <v>0</v>
      </c>
      <c r="H41" s="215">
        <f>+C41+D41+E41+F41-G41+0</f>
        <v>0</v>
      </c>
    </row>
    <row r="42" spans="1:8" ht="12.75" customHeight="1" outlineLevel="1" x14ac:dyDescent="0.3">
      <c r="A42" s="214" t="s">
        <v>442</v>
      </c>
      <c r="B42" s="214" t="s">
        <v>443</v>
      </c>
      <c r="C42" s="215">
        <v>0</v>
      </c>
      <c r="D42" s="215">
        <v>0</v>
      </c>
      <c r="E42" s="215">
        <v>0</v>
      </c>
      <c r="F42" s="213">
        <v>0</v>
      </c>
      <c r="G42" s="226">
        <v>0</v>
      </c>
      <c r="H42" s="213">
        <f>+C42+D42+E42-F42+G42</f>
        <v>0</v>
      </c>
    </row>
    <row r="43" spans="1:8" ht="12.75" customHeight="1" outlineLevel="1" x14ac:dyDescent="0.3">
      <c r="A43" s="214" t="s">
        <v>444</v>
      </c>
      <c r="B43" s="214">
        <v>147</v>
      </c>
      <c r="C43" s="215">
        <v>0</v>
      </c>
      <c r="D43" s="215">
        <v>0</v>
      </c>
      <c r="E43" s="215">
        <v>0</v>
      </c>
      <c r="F43" s="213">
        <v>0</v>
      </c>
      <c r="G43" s="226">
        <v>0</v>
      </c>
      <c r="H43" s="215">
        <f>+C43+D43+E43-F43+G43+0</f>
        <v>0</v>
      </c>
    </row>
    <row r="44" spans="1:8" ht="12.75" customHeight="1" outlineLevel="1" x14ac:dyDescent="0.3">
      <c r="A44" s="214"/>
      <c r="B44" s="214"/>
      <c r="C44" s="215"/>
      <c r="D44" s="215"/>
      <c r="E44" s="215"/>
      <c r="F44" s="215"/>
      <c r="G44" s="226"/>
      <c r="H44" s="215"/>
    </row>
    <row r="45" spans="1:8" ht="12.75" customHeight="1" outlineLevel="1" x14ac:dyDescent="0.3">
      <c r="A45" s="216" t="s">
        <v>445</v>
      </c>
      <c r="B45" s="216"/>
      <c r="C45" s="217">
        <f t="shared" ref="C45:H45" si="2">SUM(C35:C43)</f>
        <v>0</v>
      </c>
      <c r="D45" s="217">
        <f t="shared" si="2"/>
        <v>0</v>
      </c>
      <c r="E45" s="217">
        <f t="shared" si="2"/>
        <v>0</v>
      </c>
      <c r="F45" s="217">
        <f t="shared" si="2"/>
        <v>0</v>
      </c>
      <c r="G45" s="228">
        <v>0</v>
      </c>
      <c r="H45" s="217">
        <f t="shared" si="2"/>
        <v>0</v>
      </c>
    </row>
    <row r="47" spans="1:8" ht="12.75" customHeight="1" outlineLevel="1" x14ac:dyDescent="0.3">
      <c r="A47" s="209" t="s">
        <v>458</v>
      </c>
    </row>
    <row r="48" spans="1:8" ht="24.75" customHeight="1" outlineLevel="1" x14ac:dyDescent="0.3">
      <c r="A48" s="222" t="s">
        <v>424</v>
      </c>
      <c r="B48" s="223"/>
      <c r="C48" s="224" t="s">
        <v>452</v>
      </c>
      <c r="D48" s="224" t="s">
        <v>453</v>
      </c>
      <c r="E48" s="224" t="s">
        <v>459</v>
      </c>
      <c r="F48" s="223" t="s">
        <v>455</v>
      </c>
      <c r="G48" s="223" t="s">
        <v>456</v>
      </c>
      <c r="H48" s="225" t="s">
        <v>457</v>
      </c>
    </row>
    <row r="49" spans="1:11" ht="12.75" customHeight="1" outlineLevel="1" x14ac:dyDescent="0.3">
      <c r="A49" s="212" t="s">
        <v>428</v>
      </c>
      <c r="B49" s="212">
        <v>1811</v>
      </c>
      <c r="C49" s="213">
        <v>0</v>
      </c>
      <c r="D49" s="213">
        <v>0</v>
      </c>
      <c r="E49" s="213">
        <v>0</v>
      </c>
      <c r="F49" s="213">
        <v>0</v>
      </c>
      <c r="G49" s="226">
        <v>0</v>
      </c>
      <c r="H49" s="213">
        <f t="shared" ref="H49:H54" si="3">+C49+D49+E49-F49+G49</f>
        <v>0</v>
      </c>
    </row>
    <row r="50" spans="1:11" ht="12.75" customHeight="1" outlineLevel="1" x14ac:dyDescent="0.3">
      <c r="A50" s="214" t="s">
        <v>430</v>
      </c>
      <c r="B50" s="214">
        <v>1812</v>
      </c>
      <c r="C50" s="215">
        <v>0</v>
      </c>
      <c r="D50" s="215">
        <v>0</v>
      </c>
      <c r="E50" s="215">
        <v>0</v>
      </c>
      <c r="F50" s="215">
        <v>0</v>
      </c>
      <c r="G50" s="226">
        <v>0</v>
      </c>
      <c r="H50" s="215">
        <f t="shared" si="3"/>
        <v>0</v>
      </c>
    </row>
    <row r="51" spans="1:11" ht="12.75" customHeight="1" outlineLevel="1" x14ac:dyDescent="0.3">
      <c r="A51" s="214" t="s">
        <v>432</v>
      </c>
      <c r="B51" s="214">
        <v>1813</v>
      </c>
      <c r="C51" s="215">
        <v>0</v>
      </c>
      <c r="D51" s="215">
        <v>0</v>
      </c>
      <c r="E51" s="215">
        <v>0</v>
      </c>
      <c r="F51" s="215">
        <v>0</v>
      </c>
      <c r="G51" s="215">
        <v>0</v>
      </c>
      <c r="H51" s="215">
        <f t="shared" si="3"/>
        <v>0</v>
      </c>
    </row>
    <row r="52" spans="1:11" ht="12.75" customHeight="1" outlineLevel="1" x14ac:dyDescent="0.3">
      <c r="A52" s="214" t="s">
        <v>434</v>
      </c>
      <c r="B52" s="214">
        <v>1814</v>
      </c>
      <c r="C52" s="215">
        <v>0</v>
      </c>
      <c r="D52" s="215">
        <v>0</v>
      </c>
      <c r="E52" s="215">
        <v>0</v>
      </c>
      <c r="F52" s="215">
        <v>0</v>
      </c>
      <c r="G52" s="226">
        <v>0</v>
      </c>
      <c r="H52" s="215">
        <f t="shared" si="3"/>
        <v>0</v>
      </c>
    </row>
    <row r="53" spans="1:11" ht="12.75" customHeight="1" outlineLevel="1" x14ac:dyDescent="0.3">
      <c r="A53" s="214" t="s">
        <v>436</v>
      </c>
      <c r="B53" s="214">
        <v>1815</v>
      </c>
      <c r="C53" s="215">
        <v>0</v>
      </c>
      <c r="D53" s="215">
        <v>0</v>
      </c>
      <c r="E53" s="215">
        <v>0</v>
      </c>
      <c r="F53" s="215">
        <v>0</v>
      </c>
      <c r="G53" s="226">
        <v>0</v>
      </c>
      <c r="H53" s="215">
        <f t="shared" si="3"/>
        <v>0</v>
      </c>
    </row>
    <row r="54" spans="1:11" ht="12.75" customHeight="1" outlineLevel="1" x14ac:dyDescent="0.3">
      <c r="A54" s="214" t="s">
        <v>440</v>
      </c>
      <c r="B54" s="214">
        <v>1819</v>
      </c>
      <c r="C54" s="215">
        <v>0</v>
      </c>
      <c r="D54" s="215">
        <v>0</v>
      </c>
      <c r="E54" s="215">
        <v>0</v>
      </c>
      <c r="F54" s="215">
        <v>0</v>
      </c>
      <c r="G54" s="226">
        <v>0</v>
      </c>
      <c r="H54" s="215">
        <f t="shared" si="3"/>
        <v>0</v>
      </c>
    </row>
    <row r="55" spans="1:11" ht="12.75" customHeight="1" outlineLevel="1" x14ac:dyDescent="0.3">
      <c r="A55" s="214" t="s">
        <v>438</v>
      </c>
      <c r="B55" s="214">
        <v>1816</v>
      </c>
      <c r="C55" s="215">
        <v>0</v>
      </c>
      <c r="D55" s="215">
        <v>0</v>
      </c>
      <c r="E55" s="215">
        <v>0</v>
      </c>
      <c r="F55" s="215">
        <v>0</v>
      </c>
      <c r="G55" s="226">
        <v>0</v>
      </c>
      <c r="H55" s="215">
        <f>+C55+D55+E55-F55-G55</f>
        <v>0</v>
      </c>
    </row>
    <row r="56" spans="1:11" ht="12.75" customHeight="1" outlineLevel="1" x14ac:dyDescent="0.3">
      <c r="A56" s="214"/>
      <c r="B56" s="214"/>
      <c r="C56" s="215"/>
      <c r="D56" s="215"/>
      <c r="E56" s="215"/>
      <c r="F56" s="215"/>
      <c r="G56" s="226"/>
      <c r="H56" s="215"/>
    </row>
    <row r="57" spans="1:11" ht="12.75" customHeight="1" outlineLevel="1" x14ac:dyDescent="0.3">
      <c r="A57" s="216" t="s">
        <v>445</v>
      </c>
      <c r="B57" s="216"/>
      <c r="C57" s="217">
        <f t="shared" ref="C57:H57" si="4">SUM(C49:C55)</f>
        <v>0</v>
      </c>
      <c r="D57" s="217">
        <f t="shared" si="4"/>
        <v>0</v>
      </c>
      <c r="E57" s="217">
        <f t="shared" si="4"/>
        <v>0</v>
      </c>
      <c r="F57" s="217">
        <f t="shared" si="4"/>
        <v>0</v>
      </c>
      <c r="G57" s="228">
        <v>0</v>
      </c>
      <c r="H57" s="217">
        <f t="shared" si="4"/>
        <v>0</v>
      </c>
      <c r="J57" s="229"/>
      <c r="K57" s="230"/>
    </row>
    <row r="59" spans="1:11" ht="12.75" hidden="1" customHeight="1" outlineLevel="1" x14ac:dyDescent="0.3">
      <c r="A59" s="209" t="s">
        <v>460</v>
      </c>
    </row>
    <row r="60" spans="1:11" ht="12.75" hidden="1" customHeight="1" outlineLevel="1" x14ac:dyDescent="0.3">
      <c r="A60" s="390" t="s">
        <v>424</v>
      </c>
      <c r="B60" s="390"/>
      <c r="C60" s="392" t="s">
        <v>461</v>
      </c>
      <c r="D60" s="392"/>
      <c r="E60" s="392"/>
    </row>
    <row r="61" spans="1:11" ht="22.5" hidden="1" customHeight="1" outlineLevel="1" x14ac:dyDescent="0.3">
      <c r="A61" s="391"/>
      <c r="B61" s="391"/>
      <c r="C61" s="218" t="s">
        <v>462</v>
      </c>
      <c r="D61" s="218" t="s">
        <v>463</v>
      </c>
      <c r="E61" s="218" t="s">
        <v>445</v>
      </c>
    </row>
    <row r="62" spans="1:11" ht="12.75" hidden="1" customHeight="1" outlineLevel="1" x14ac:dyDescent="0.3">
      <c r="A62" s="212" t="s">
        <v>428</v>
      </c>
      <c r="B62" s="212">
        <v>111</v>
      </c>
      <c r="C62" s="213"/>
      <c r="D62" s="219"/>
      <c r="E62" s="213">
        <f>+C62+D62</f>
        <v>0</v>
      </c>
      <c r="F62" s="210" t="s">
        <v>464</v>
      </c>
    </row>
    <row r="63" spans="1:11" ht="12.75" hidden="1" customHeight="1" outlineLevel="1" x14ac:dyDescent="0.3">
      <c r="A63" s="214" t="s">
        <v>430</v>
      </c>
      <c r="B63" s="214">
        <v>112</v>
      </c>
      <c r="C63" s="215"/>
      <c r="D63" s="215"/>
      <c r="E63" s="215">
        <f t="shared" ref="E63:E69" si="5">+C63+D63</f>
        <v>0</v>
      </c>
      <c r="F63" s="210" t="s">
        <v>465</v>
      </c>
    </row>
    <row r="64" spans="1:11" ht="12.75" hidden="1" customHeight="1" outlineLevel="1" x14ac:dyDescent="0.3">
      <c r="A64" s="214" t="s">
        <v>432</v>
      </c>
      <c r="B64" s="214">
        <v>113</v>
      </c>
      <c r="C64" s="215"/>
      <c r="D64" s="215"/>
      <c r="E64" s="215">
        <f t="shared" si="5"/>
        <v>0</v>
      </c>
    </row>
    <row r="65" spans="1:9" ht="12.75" hidden="1" customHeight="1" outlineLevel="1" x14ac:dyDescent="0.3">
      <c r="A65" s="214" t="s">
        <v>434</v>
      </c>
      <c r="B65" s="214">
        <v>114</v>
      </c>
      <c r="C65" s="215"/>
      <c r="D65" s="215"/>
      <c r="E65" s="215">
        <f t="shared" si="5"/>
        <v>0</v>
      </c>
    </row>
    <row r="66" spans="1:9" ht="12.75" hidden="1" customHeight="1" outlineLevel="1" x14ac:dyDescent="0.3">
      <c r="A66" s="214" t="s">
        <v>436</v>
      </c>
      <c r="B66" s="214">
        <v>115</v>
      </c>
      <c r="C66" s="215"/>
      <c r="D66" s="215"/>
      <c r="E66" s="215">
        <f t="shared" si="5"/>
        <v>0</v>
      </c>
    </row>
    <row r="67" spans="1:9" ht="12.75" hidden="1" customHeight="1" outlineLevel="1" x14ac:dyDescent="0.3">
      <c r="A67" s="214" t="s">
        <v>440</v>
      </c>
      <c r="B67" s="214">
        <v>119</v>
      </c>
      <c r="C67" s="215"/>
      <c r="D67" s="215"/>
      <c r="E67" s="215">
        <f t="shared" si="5"/>
        <v>0</v>
      </c>
    </row>
    <row r="68" spans="1:9" ht="12.75" hidden="1" customHeight="1" outlineLevel="1" x14ac:dyDescent="0.3">
      <c r="A68" s="214" t="s">
        <v>438</v>
      </c>
      <c r="B68" s="214">
        <v>116</v>
      </c>
      <c r="C68" s="215"/>
      <c r="D68" s="215"/>
      <c r="E68" s="215">
        <f t="shared" si="5"/>
        <v>0</v>
      </c>
    </row>
    <row r="69" spans="1:9" ht="12.75" hidden="1" customHeight="1" outlineLevel="1" x14ac:dyDescent="0.3">
      <c r="A69" s="214" t="s">
        <v>442</v>
      </c>
      <c r="B69" s="214" t="s">
        <v>443</v>
      </c>
      <c r="C69" s="215"/>
      <c r="D69" s="215"/>
      <c r="E69" s="215">
        <f t="shared" si="5"/>
        <v>0</v>
      </c>
    </row>
    <row r="70" spans="1:9" ht="12.75" hidden="1" customHeight="1" outlineLevel="1" x14ac:dyDescent="0.3">
      <c r="A70" s="220" t="s">
        <v>445</v>
      </c>
      <c r="B70" s="220"/>
      <c r="C70" s="221">
        <f>SUM(C62:C69)</f>
        <v>0</v>
      </c>
      <c r="D70" s="221">
        <f>SUM(D62:D69)</f>
        <v>0</v>
      </c>
      <c r="E70" s="221">
        <f>SUM(E62:E69)</f>
        <v>0</v>
      </c>
    </row>
    <row r="71" spans="1:9" ht="12.75" customHeight="1" collapsed="1" x14ac:dyDescent="0.3"/>
    <row r="72" spans="1:9" ht="12.75" hidden="1" customHeight="1" outlineLevel="1" x14ac:dyDescent="0.3">
      <c r="A72" s="209" t="s">
        <v>466</v>
      </c>
    </row>
    <row r="73" spans="1:9" ht="12.75" hidden="1" customHeight="1" outlineLevel="1" x14ac:dyDescent="0.3">
      <c r="A73" s="390" t="s">
        <v>424</v>
      </c>
      <c r="B73" s="390"/>
      <c r="C73" s="390" t="s">
        <v>467</v>
      </c>
      <c r="D73" s="390"/>
      <c r="E73" s="390"/>
      <c r="F73" s="390"/>
      <c r="G73" s="390"/>
      <c r="H73" s="390"/>
    </row>
    <row r="74" spans="1:9" ht="12.75" hidden="1" customHeight="1" outlineLevel="1" x14ac:dyDescent="0.3">
      <c r="A74" s="391"/>
      <c r="B74" s="391"/>
      <c r="C74" s="406" t="s">
        <v>468</v>
      </c>
      <c r="D74" s="406" t="s">
        <v>469</v>
      </c>
      <c r="E74" s="406" t="s">
        <v>470</v>
      </c>
      <c r="F74" s="396" t="s">
        <v>471</v>
      </c>
      <c r="G74" s="396" t="s">
        <v>472</v>
      </c>
      <c r="H74" s="396" t="s">
        <v>473</v>
      </c>
    </row>
    <row r="75" spans="1:9" ht="12.75" hidden="1" customHeight="1" outlineLevel="1" x14ac:dyDescent="0.3">
      <c r="A75" s="391"/>
      <c r="B75" s="391"/>
      <c r="C75" s="407"/>
      <c r="D75" s="407"/>
      <c r="E75" s="407"/>
      <c r="F75" s="396"/>
      <c r="G75" s="396"/>
      <c r="H75" s="396"/>
    </row>
    <row r="76" spans="1:9" ht="12.75" hidden="1" customHeight="1" outlineLevel="1" x14ac:dyDescent="0.3">
      <c r="A76" s="391"/>
      <c r="B76" s="391"/>
      <c r="C76" s="408"/>
      <c r="D76" s="408"/>
      <c r="E76" s="408"/>
      <c r="F76" s="396"/>
      <c r="G76" s="396"/>
      <c r="H76" s="396"/>
    </row>
    <row r="77" spans="1:9" ht="12.75" hidden="1" customHeight="1" outlineLevel="1" x14ac:dyDescent="0.3">
      <c r="A77" s="212" t="s">
        <v>428</v>
      </c>
      <c r="B77" s="212">
        <v>111</v>
      </c>
      <c r="C77" s="213"/>
      <c r="D77" s="213"/>
      <c r="E77" s="213"/>
      <c r="F77" s="231"/>
      <c r="G77" s="231"/>
      <c r="H77" s="231"/>
      <c r="I77" s="210" t="s">
        <v>474</v>
      </c>
    </row>
    <row r="78" spans="1:9" ht="12.75" hidden="1" customHeight="1" outlineLevel="1" x14ac:dyDescent="0.3">
      <c r="A78" s="214" t="s">
        <v>430</v>
      </c>
      <c r="B78" s="214">
        <v>112</v>
      </c>
      <c r="C78" s="215"/>
      <c r="D78" s="215"/>
      <c r="E78" s="215"/>
      <c r="F78" s="232"/>
      <c r="G78" s="232"/>
      <c r="H78" s="232"/>
      <c r="I78" s="233" t="s">
        <v>475</v>
      </c>
    </row>
    <row r="79" spans="1:9" ht="12.75" hidden="1" customHeight="1" outlineLevel="1" x14ac:dyDescent="0.3">
      <c r="A79" s="214" t="s">
        <v>432</v>
      </c>
      <c r="B79" s="214">
        <v>113</v>
      </c>
      <c r="C79" s="215"/>
      <c r="D79" s="215"/>
      <c r="E79" s="215"/>
      <c r="F79" s="232"/>
      <c r="G79" s="232"/>
      <c r="H79" s="232"/>
    </row>
    <row r="80" spans="1:9" ht="12.75" hidden="1" customHeight="1" outlineLevel="1" x14ac:dyDescent="0.3">
      <c r="A80" s="214" t="s">
        <v>434</v>
      </c>
      <c r="B80" s="214">
        <v>114</v>
      </c>
      <c r="C80" s="215"/>
      <c r="D80" s="215"/>
      <c r="E80" s="215"/>
      <c r="F80" s="232"/>
      <c r="G80" s="232"/>
      <c r="H80" s="232"/>
    </row>
    <row r="81" spans="1:8" ht="12.75" hidden="1" customHeight="1" outlineLevel="1" x14ac:dyDescent="0.3">
      <c r="A81" s="214" t="s">
        <v>436</v>
      </c>
      <c r="B81" s="214">
        <v>115</v>
      </c>
      <c r="C81" s="215"/>
      <c r="D81" s="215"/>
      <c r="E81" s="215"/>
      <c r="F81" s="232"/>
      <c r="G81" s="232"/>
      <c r="H81" s="232"/>
    </row>
    <row r="82" spans="1:8" ht="12.75" hidden="1" customHeight="1" outlineLevel="1" x14ac:dyDescent="0.3">
      <c r="A82" s="214" t="s">
        <v>440</v>
      </c>
      <c r="B82" s="214">
        <v>119</v>
      </c>
      <c r="C82" s="215"/>
      <c r="D82" s="215"/>
      <c r="E82" s="215"/>
      <c r="F82" s="232"/>
      <c r="G82" s="232"/>
      <c r="H82" s="232"/>
    </row>
    <row r="83" spans="1:8" ht="12.75" hidden="1" customHeight="1" outlineLevel="1" x14ac:dyDescent="0.3">
      <c r="A83" s="214" t="s">
        <v>438</v>
      </c>
      <c r="B83" s="214">
        <v>116</v>
      </c>
      <c r="C83" s="215"/>
      <c r="D83" s="215"/>
      <c r="E83" s="215"/>
      <c r="F83" s="232"/>
      <c r="G83" s="232"/>
      <c r="H83" s="232"/>
    </row>
    <row r="84" spans="1:8" ht="12.75" hidden="1" customHeight="1" outlineLevel="1" x14ac:dyDescent="0.3">
      <c r="A84" s="214" t="s">
        <v>442</v>
      </c>
      <c r="B84" s="214" t="s">
        <v>443</v>
      </c>
      <c r="C84" s="215"/>
      <c r="D84" s="215"/>
      <c r="E84" s="215"/>
      <c r="F84" s="232"/>
      <c r="G84" s="232"/>
      <c r="H84" s="232"/>
    </row>
    <row r="85" spans="1:8" ht="12.75" hidden="1" customHeight="1" outlineLevel="1" x14ac:dyDescent="0.3">
      <c r="A85" s="220" t="s">
        <v>445</v>
      </c>
      <c r="B85" s="220"/>
      <c r="C85" s="221">
        <f t="shared" ref="C85:H85" si="6">SUM(C77:C84)</f>
        <v>0</v>
      </c>
      <c r="D85" s="221">
        <f t="shared" si="6"/>
        <v>0</v>
      </c>
      <c r="E85" s="221">
        <f t="shared" si="6"/>
        <v>0</v>
      </c>
      <c r="F85" s="221">
        <f t="shared" si="6"/>
        <v>0</v>
      </c>
      <c r="G85" s="221">
        <f t="shared" si="6"/>
        <v>0</v>
      </c>
      <c r="H85" s="221">
        <f t="shared" si="6"/>
        <v>0</v>
      </c>
    </row>
    <row r="86" spans="1:8" ht="12.75" hidden="1" customHeight="1" outlineLevel="1" x14ac:dyDescent="0.3">
      <c r="B86" s="234"/>
      <c r="C86" s="235"/>
      <c r="D86" s="235"/>
      <c r="E86" s="235"/>
      <c r="F86" s="234"/>
      <c r="G86" s="234"/>
      <c r="H86" s="234"/>
    </row>
    <row r="87" spans="1:8" ht="12.75" hidden="1" customHeight="1" outlineLevel="1" x14ac:dyDescent="0.3">
      <c r="A87" s="210" t="s">
        <v>476</v>
      </c>
    </row>
    <row r="88" spans="1:8" ht="12.75" hidden="1" customHeight="1" outlineLevel="1" x14ac:dyDescent="0.3">
      <c r="A88" s="210" t="s">
        <v>477</v>
      </c>
    </row>
    <row r="89" spans="1:8" ht="12.75" customHeight="1" collapsed="1" x14ac:dyDescent="0.3"/>
    <row r="91" spans="1:8" ht="12.75" hidden="1" customHeight="1" outlineLevel="1" x14ac:dyDescent="0.3">
      <c r="A91" s="209" t="s">
        <v>478</v>
      </c>
    </row>
    <row r="92" spans="1:8" ht="12.75" hidden="1" customHeight="1" outlineLevel="1" x14ac:dyDescent="0.3">
      <c r="A92" s="401" t="s">
        <v>424</v>
      </c>
      <c r="B92" s="236"/>
      <c r="C92" s="403" t="s">
        <v>479</v>
      </c>
      <c r="D92" s="404"/>
      <c r="E92" s="405"/>
    </row>
    <row r="93" spans="1:8" ht="27" hidden="1" customHeight="1" outlineLevel="1" x14ac:dyDescent="0.3">
      <c r="A93" s="402"/>
      <c r="B93" s="237"/>
      <c r="C93" s="218" t="s">
        <v>480</v>
      </c>
      <c r="D93" s="218" t="s">
        <v>481</v>
      </c>
      <c r="E93" s="218" t="s">
        <v>482</v>
      </c>
    </row>
    <row r="94" spans="1:8" ht="12.75" hidden="1" customHeight="1" outlineLevel="1" x14ac:dyDescent="0.3">
      <c r="A94" s="212" t="s">
        <v>428</v>
      </c>
      <c r="B94" s="212">
        <v>111</v>
      </c>
      <c r="C94" s="213"/>
      <c r="D94" s="219"/>
      <c r="E94" s="213"/>
    </row>
    <row r="95" spans="1:8" ht="12.75" hidden="1" customHeight="1" outlineLevel="1" x14ac:dyDescent="0.3">
      <c r="A95" s="214" t="s">
        <v>430</v>
      </c>
      <c r="B95" s="214">
        <v>112</v>
      </c>
      <c r="C95" s="215"/>
      <c r="D95" s="215"/>
      <c r="E95" s="215"/>
      <c r="F95" s="210" t="s">
        <v>483</v>
      </c>
    </row>
    <row r="96" spans="1:8" ht="12.75" hidden="1" customHeight="1" outlineLevel="1" x14ac:dyDescent="0.3">
      <c r="A96" s="214" t="s">
        <v>432</v>
      </c>
      <c r="B96" s="214">
        <v>113</v>
      </c>
      <c r="C96" s="215"/>
      <c r="D96" s="215"/>
      <c r="E96" s="215"/>
      <c r="F96" s="210" t="s">
        <v>484</v>
      </c>
    </row>
    <row r="97" spans="1:6" ht="12.75" hidden="1" customHeight="1" outlineLevel="1" x14ac:dyDescent="0.3">
      <c r="A97" s="214" t="s">
        <v>434</v>
      </c>
      <c r="B97" s="214">
        <v>114</v>
      </c>
      <c r="C97" s="215"/>
      <c r="D97" s="215"/>
      <c r="E97" s="215"/>
      <c r="F97" s="210" t="s">
        <v>485</v>
      </c>
    </row>
    <row r="98" spans="1:6" ht="12.75" hidden="1" customHeight="1" outlineLevel="1" x14ac:dyDescent="0.3">
      <c r="A98" s="214" t="s">
        <v>436</v>
      </c>
      <c r="B98" s="214">
        <v>115</v>
      </c>
      <c r="C98" s="215"/>
      <c r="D98" s="215"/>
      <c r="E98" s="215"/>
    </row>
    <row r="99" spans="1:6" ht="12.75" hidden="1" customHeight="1" outlineLevel="1" x14ac:dyDescent="0.3">
      <c r="A99" s="214" t="s">
        <v>440</v>
      </c>
      <c r="B99" s="214">
        <v>119</v>
      </c>
      <c r="C99" s="215"/>
      <c r="D99" s="215"/>
      <c r="E99" s="215"/>
    </row>
    <row r="100" spans="1:6" ht="12.75" hidden="1" customHeight="1" outlineLevel="1" x14ac:dyDescent="0.3">
      <c r="A100" s="214" t="s">
        <v>438</v>
      </c>
      <c r="B100" s="214">
        <v>116</v>
      </c>
      <c r="C100" s="215"/>
      <c r="D100" s="215"/>
      <c r="E100" s="215"/>
    </row>
    <row r="101" spans="1:6" ht="12.75" hidden="1" customHeight="1" outlineLevel="1" x14ac:dyDescent="0.3">
      <c r="A101" s="214" t="s">
        <v>442</v>
      </c>
      <c r="B101" s="214" t="s">
        <v>443</v>
      </c>
      <c r="C101" s="215"/>
      <c r="D101" s="215"/>
      <c r="E101" s="215"/>
    </row>
    <row r="102" spans="1:6" ht="12.75" hidden="1" customHeight="1" outlineLevel="1" x14ac:dyDescent="0.3">
      <c r="A102" s="220" t="s">
        <v>445</v>
      </c>
      <c r="B102" s="220"/>
      <c r="C102" s="221">
        <f>SUM(C94:C101)</f>
        <v>0</v>
      </c>
      <c r="D102" s="221">
        <f>SUM(D94:D101)</f>
        <v>0</v>
      </c>
      <c r="E102" s="221">
        <f>SUM(E94:E101)</f>
        <v>0</v>
      </c>
    </row>
    <row r="103" spans="1:6" ht="12.75" customHeight="1" collapsed="1" x14ac:dyDescent="0.3"/>
  </sheetData>
  <mergeCells count="22">
    <mergeCell ref="G74:G76"/>
    <mergeCell ref="H74:H76"/>
    <mergeCell ref="A92:A93"/>
    <mergeCell ref="C92:E92"/>
    <mergeCell ref="A60:A61"/>
    <mergeCell ref="B60:B61"/>
    <mergeCell ref="C60:E60"/>
    <mergeCell ref="A73:A76"/>
    <mergeCell ref="B73:B76"/>
    <mergeCell ref="C73:H73"/>
    <mergeCell ref="C74:C76"/>
    <mergeCell ref="D74:D76"/>
    <mergeCell ref="E74:E76"/>
    <mergeCell ref="F74:F76"/>
    <mergeCell ref="A20:A21"/>
    <mergeCell ref="B20:B21"/>
    <mergeCell ref="C20:E20"/>
    <mergeCell ref="A4:A6"/>
    <mergeCell ref="B4:B6"/>
    <mergeCell ref="C4:C6"/>
    <mergeCell ref="D4:D6"/>
    <mergeCell ref="E4:E6"/>
  </mergeCells>
  <pageMargins left="0.75" right="0.75" top="1" bottom="1" header="0.5" footer="0.5"/>
  <pageSetup scale="79" orientation="portrait" horizontalDpi="300" verticalDpi="300" r:id="rId1"/>
  <headerFooter alignWithMargins="0"/>
  <rowBreaks count="1" manualBreakCount="1">
    <brk id="4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tabSelected="1" workbookViewId="0"/>
  </sheetViews>
  <sheetFormatPr defaultRowHeight="12.75" customHeight="1" outlineLevelRow="1" x14ac:dyDescent="0.3"/>
  <cols>
    <col min="1" max="1" width="31.140625" style="210" customWidth="1"/>
    <col min="2" max="2" width="0" style="210" hidden="1" customWidth="1"/>
    <col min="3" max="3" width="13.140625" style="210" bestFit="1" customWidth="1"/>
    <col min="4" max="4" width="15.140625" style="210" customWidth="1"/>
    <col min="5" max="5" width="12.5703125" style="210" customWidth="1"/>
    <col min="6" max="6" width="13.140625" style="210" bestFit="1" customWidth="1"/>
    <col min="7" max="16384" width="9.140625" style="210"/>
  </cols>
  <sheetData>
    <row r="1" spans="1:10" s="209" customFormat="1" ht="12.75" customHeight="1" x14ac:dyDescent="0.3">
      <c r="A1" s="209" t="s">
        <v>925</v>
      </c>
    </row>
    <row r="3" spans="1:10" ht="12.75" customHeight="1" outlineLevel="1" x14ac:dyDescent="0.3">
      <c r="A3" s="209" t="s">
        <v>486</v>
      </c>
    </row>
    <row r="4" spans="1:10" ht="12.75" customHeight="1" outlineLevel="1" x14ac:dyDescent="0.3">
      <c r="A4" s="409" t="s">
        <v>424</v>
      </c>
      <c r="B4" s="411"/>
      <c r="C4" s="411" t="s">
        <v>425</v>
      </c>
      <c r="D4" s="411" t="s">
        <v>426</v>
      </c>
      <c r="E4" s="413" t="s">
        <v>427</v>
      </c>
    </row>
    <row r="5" spans="1:10" ht="12.75" customHeight="1" outlineLevel="1" x14ac:dyDescent="0.3">
      <c r="A5" s="410"/>
      <c r="B5" s="412"/>
      <c r="C5" s="412"/>
      <c r="D5" s="412"/>
      <c r="E5" s="414"/>
    </row>
    <row r="6" spans="1:10" ht="12.75" customHeight="1" outlineLevel="1" x14ac:dyDescent="0.3">
      <c r="A6" s="212" t="s">
        <v>487</v>
      </c>
      <c r="B6" s="212" t="s">
        <v>488</v>
      </c>
      <c r="C6" s="213">
        <v>0</v>
      </c>
      <c r="D6" s="213">
        <v>0</v>
      </c>
      <c r="E6" s="213">
        <f>C6-D6</f>
        <v>0</v>
      </c>
    </row>
    <row r="7" spans="1:10" ht="12.75" customHeight="1" outlineLevel="1" x14ac:dyDescent="0.35">
      <c r="A7" s="214" t="s">
        <v>489</v>
      </c>
      <c r="B7" s="214" t="s">
        <v>490</v>
      </c>
      <c r="C7" s="215">
        <v>0</v>
      </c>
      <c r="D7" s="215">
        <v>0</v>
      </c>
      <c r="E7" s="215">
        <f>C7-D7</f>
        <v>0</v>
      </c>
      <c r="H7" s="238"/>
      <c r="I7" s="239"/>
      <c r="J7" s="239"/>
    </row>
    <row r="8" spans="1:10" ht="12.75" customHeight="1" outlineLevel="1" x14ac:dyDescent="0.35">
      <c r="A8" s="240" t="s">
        <v>491</v>
      </c>
      <c r="B8" s="214" t="s">
        <v>492</v>
      </c>
      <c r="C8" s="215">
        <v>0</v>
      </c>
      <c r="D8" s="215">
        <v>0</v>
      </c>
      <c r="E8" s="215">
        <f>C8-D8</f>
        <v>0</v>
      </c>
      <c r="H8" s="239"/>
      <c r="I8" s="239"/>
      <c r="J8" s="239"/>
    </row>
    <row r="9" spans="1:10" ht="12.75" customHeight="1" outlineLevel="1" x14ac:dyDescent="0.35">
      <c r="A9" s="214" t="s">
        <v>493</v>
      </c>
      <c r="B9" s="214" t="s">
        <v>494</v>
      </c>
      <c r="C9" s="215">
        <v>281509</v>
      </c>
      <c r="D9" s="215">
        <v>93826.95</v>
      </c>
      <c r="E9" s="215">
        <f>C9-D9</f>
        <v>187682.05</v>
      </c>
      <c r="H9" s="238"/>
      <c r="I9" s="239"/>
      <c r="J9" s="239"/>
    </row>
    <row r="10" spans="1:10" ht="12.75" customHeight="1" outlineLevel="1" x14ac:dyDescent="0.3">
      <c r="A10" s="214" t="s">
        <v>495</v>
      </c>
      <c r="B10" s="214" t="s">
        <v>496</v>
      </c>
      <c r="C10" s="215">
        <v>0</v>
      </c>
      <c r="D10" s="215">
        <v>0</v>
      </c>
      <c r="E10" s="215">
        <f>C10-D10</f>
        <v>0</v>
      </c>
    </row>
    <row r="11" spans="1:10" ht="12.75" customHeight="1" outlineLevel="1" x14ac:dyDescent="0.3">
      <c r="A11" s="214"/>
      <c r="B11" s="214"/>
      <c r="C11" s="215"/>
      <c r="D11" s="215"/>
      <c r="E11" s="215"/>
    </row>
    <row r="12" spans="1:10" ht="12.75" customHeight="1" outlineLevel="1" x14ac:dyDescent="0.3">
      <c r="A12" s="216" t="s">
        <v>445</v>
      </c>
      <c r="B12" s="216"/>
      <c r="C12" s="217">
        <f>SUM(C6:C10)</f>
        <v>281509</v>
      </c>
      <c r="D12" s="217">
        <f>SUM(D6:D10)</f>
        <v>93826.95</v>
      </c>
      <c r="E12" s="217">
        <f>SUM(E6:E10)</f>
        <v>187682.05</v>
      </c>
    </row>
    <row r="13" spans="1:10" ht="12.75" customHeight="1" outlineLevel="1" x14ac:dyDescent="0.3">
      <c r="A13" s="234"/>
      <c r="B13" s="234"/>
      <c r="C13" s="234"/>
      <c r="D13" s="234"/>
      <c r="E13" s="234"/>
    </row>
    <row r="14" spans="1:10" ht="12.75" customHeight="1" outlineLevel="1" x14ac:dyDescent="0.3">
      <c r="A14" s="241" t="s">
        <v>497</v>
      </c>
      <c r="B14" s="234"/>
      <c r="C14" s="234"/>
      <c r="D14" s="234"/>
      <c r="E14" s="234"/>
    </row>
    <row r="15" spans="1:10" ht="12.75" customHeight="1" outlineLevel="1" x14ac:dyDescent="0.3">
      <c r="A15" s="241" t="s">
        <v>498</v>
      </c>
      <c r="B15" s="234"/>
      <c r="C15" s="234"/>
      <c r="D15" s="234"/>
      <c r="E15" s="234"/>
    </row>
    <row r="17" spans="1:15" ht="12.75" customHeight="1" outlineLevel="1" x14ac:dyDescent="0.3">
      <c r="A17" s="209" t="s">
        <v>499</v>
      </c>
    </row>
    <row r="18" spans="1:15" ht="12.75" customHeight="1" outlineLevel="1" x14ac:dyDescent="0.3">
      <c r="A18" s="409" t="s">
        <v>424</v>
      </c>
      <c r="B18" s="411"/>
      <c r="C18" s="411" t="s">
        <v>452</v>
      </c>
      <c r="D18" s="411" t="s">
        <v>454</v>
      </c>
      <c r="E18" s="411" t="s">
        <v>500</v>
      </c>
      <c r="F18" s="413" t="s">
        <v>457</v>
      </c>
    </row>
    <row r="19" spans="1:15" ht="12.75" customHeight="1" outlineLevel="1" x14ac:dyDescent="0.3">
      <c r="A19" s="410"/>
      <c r="B19" s="412"/>
      <c r="C19" s="412"/>
      <c r="D19" s="412"/>
      <c r="E19" s="412"/>
      <c r="F19" s="414"/>
    </row>
    <row r="20" spans="1:15" ht="12.75" customHeight="1" outlineLevel="1" x14ac:dyDescent="0.35">
      <c r="A20" s="212" t="s">
        <v>487</v>
      </c>
      <c r="B20" s="212">
        <v>121</v>
      </c>
      <c r="C20" s="213">
        <v>0</v>
      </c>
      <c r="D20" s="213">
        <v>0</v>
      </c>
      <c r="E20" s="213">
        <v>0</v>
      </c>
      <c r="F20" s="213">
        <f>+C20+D20-E20</f>
        <v>0</v>
      </c>
      <c r="I20" s="238"/>
      <c r="J20" s="239"/>
      <c r="K20" s="239"/>
      <c r="L20" s="239"/>
      <c r="M20" s="239"/>
      <c r="N20" s="239"/>
      <c r="O20" s="239"/>
    </row>
    <row r="21" spans="1:15" ht="12.75" customHeight="1" outlineLevel="1" x14ac:dyDescent="0.3">
      <c r="A21" s="214" t="s">
        <v>501</v>
      </c>
      <c r="B21" s="214">
        <v>122</v>
      </c>
      <c r="C21" s="215">
        <v>0</v>
      </c>
      <c r="D21" s="215">
        <v>0</v>
      </c>
      <c r="E21" s="215">
        <v>0</v>
      </c>
      <c r="F21" s="215">
        <f>+C21+D21-E21</f>
        <v>0</v>
      </c>
    </row>
    <row r="22" spans="1:15" ht="12.75" customHeight="1" outlineLevel="1" x14ac:dyDescent="0.3">
      <c r="A22" s="240" t="s">
        <v>491</v>
      </c>
      <c r="B22" s="214">
        <v>123</v>
      </c>
      <c r="C22" s="215">
        <v>0</v>
      </c>
      <c r="D22" s="215">
        <v>0</v>
      </c>
      <c r="E22" s="215">
        <v>0</v>
      </c>
      <c r="F22" s="215">
        <f>+C22+D22-E22</f>
        <v>0</v>
      </c>
    </row>
    <row r="23" spans="1:15" ht="12.75" customHeight="1" outlineLevel="1" x14ac:dyDescent="0.3">
      <c r="A23" s="214" t="s">
        <v>502</v>
      </c>
      <c r="B23" s="214">
        <v>124</v>
      </c>
      <c r="C23" s="215">
        <v>0</v>
      </c>
      <c r="D23" s="215">
        <v>0</v>
      </c>
      <c r="E23" s="215">
        <v>0</v>
      </c>
      <c r="F23" s="215">
        <f>+C23+D23-E23</f>
        <v>0</v>
      </c>
    </row>
    <row r="24" spans="1:15" ht="12.75" customHeight="1" outlineLevel="1" x14ac:dyDescent="0.3">
      <c r="A24" s="214" t="s">
        <v>495</v>
      </c>
      <c r="B24" s="214">
        <v>129</v>
      </c>
      <c r="C24" s="215">
        <v>0</v>
      </c>
      <c r="D24" s="215">
        <v>0</v>
      </c>
      <c r="E24" s="215">
        <v>0</v>
      </c>
      <c r="F24" s="215">
        <f>+C24+D24-E24</f>
        <v>0</v>
      </c>
    </row>
    <row r="25" spans="1:15" ht="12.75" customHeight="1" outlineLevel="1" x14ac:dyDescent="0.3">
      <c r="A25" s="214"/>
      <c r="B25" s="214"/>
      <c r="C25" s="215"/>
      <c r="D25" s="215"/>
      <c r="E25" s="215"/>
      <c r="F25" s="215"/>
    </row>
    <row r="26" spans="1:15" ht="12.75" customHeight="1" outlineLevel="1" x14ac:dyDescent="0.3">
      <c r="A26" s="216" t="s">
        <v>445</v>
      </c>
      <c r="B26" s="216"/>
      <c r="C26" s="217">
        <f>SUM(C20:C24)</f>
        <v>0</v>
      </c>
      <c r="D26" s="217">
        <f>SUM(D20:D24)</f>
        <v>0</v>
      </c>
      <c r="E26" s="217">
        <f>SUM(E20:E24)</f>
        <v>0</v>
      </c>
      <c r="F26" s="217">
        <f>SUM(F20:F24)</f>
        <v>0</v>
      </c>
    </row>
    <row r="27" spans="1:15" ht="12.75" customHeight="1" x14ac:dyDescent="0.3">
      <c r="A27" s="234"/>
      <c r="B27" s="234"/>
      <c r="C27" s="242"/>
      <c r="D27" s="242"/>
      <c r="E27" s="242"/>
      <c r="F27" s="242"/>
    </row>
    <row r="28" spans="1:15" ht="12.75" customHeight="1" outlineLevel="1" x14ac:dyDescent="0.3">
      <c r="A28" s="209" t="s">
        <v>503</v>
      </c>
    </row>
    <row r="29" spans="1:15" ht="12.75" customHeight="1" outlineLevel="1" x14ac:dyDescent="0.3">
      <c r="A29" s="409" t="s">
        <v>424</v>
      </c>
      <c r="B29" s="411"/>
      <c r="C29" s="411" t="s">
        <v>452</v>
      </c>
      <c r="D29" s="411" t="s">
        <v>454</v>
      </c>
      <c r="E29" s="411" t="s">
        <v>500</v>
      </c>
      <c r="F29" s="413" t="s">
        <v>457</v>
      </c>
    </row>
    <row r="30" spans="1:15" ht="12.75" customHeight="1" outlineLevel="1" x14ac:dyDescent="0.35">
      <c r="A30" s="410"/>
      <c r="B30" s="412"/>
      <c r="C30" s="412"/>
      <c r="D30" s="412"/>
      <c r="E30" s="412"/>
      <c r="F30" s="414"/>
      <c r="H30" s="238"/>
      <c r="I30" s="239"/>
      <c r="J30" s="239"/>
      <c r="K30" s="239"/>
      <c r="L30" s="239"/>
      <c r="M30" s="239"/>
      <c r="N30" s="239"/>
      <c r="O30" s="239"/>
    </row>
    <row r="31" spans="1:15" ht="12.75" customHeight="1" outlineLevel="1" x14ac:dyDescent="0.3">
      <c r="A31" s="212" t="s">
        <v>487</v>
      </c>
      <c r="B31" s="212">
        <v>1821</v>
      </c>
      <c r="C31" s="213">
        <v>0</v>
      </c>
      <c r="D31" s="213">
        <v>0</v>
      </c>
      <c r="E31" s="213">
        <v>0</v>
      </c>
      <c r="F31" s="213">
        <f>+C31+D31-E31</f>
        <v>0</v>
      </c>
    </row>
    <row r="32" spans="1:15" ht="12.75" customHeight="1" outlineLevel="1" x14ac:dyDescent="0.3">
      <c r="A32" s="214" t="s">
        <v>501</v>
      </c>
      <c r="B32" s="214">
        <v>1822</v>
      </c>
      <c r="C32" s="215">
        <v>0</v>
      </c>
      <c r="D32" s="215">
        <v>0</v>
      </c>
      <c r="E32" s="215">
        <v>0</v>
      </c>
      <c r="F32" s="215">
        <f>+C32+D32-E32</f>
        <v>0</v>
      </c>
    </row>
    <row r="33" spans="1:6" ht="12.75" customHeight="1" outlineLevel="1" x14ac:dyDescent="0.3">
      <c r="A33" s="240" t="s">
        <v>491</v>
      </c>
      <c r="B33" s="214">
        <v>1823</v>
      </c>
      <c r="C33" s="215">
        <v>0</v>
      </c>
      <c r="D33" s="215">
        <v>0</v>
      </c>
      <c r="E33" s="215">
        <v>0</v>
      </c>
      <c r="F33" s="215">
        <f>+C33+D33-E33</f>
        <v>0</v>
      </c>
    </row>
    <row r="34" spans="1:6" ht="12.75" customHeight="1" outlineLevel="1" x14ac:dyDescent="0.3">
      <c r="A34" s="214" t="s">
        <v>502</v>
      </c>
      <c r="B34" s="214">
        <v>1824</v>
      </c>
      <c r="C34" s="215">
        <v>0</v>
      </c>
      <c r="D34" s="215">
        <v>0</v>
      </c>
      <c r="E34" s="215">
        <v>0</v>
      </c>
      <c r="F34" s="215">
        <f>+C34+D34-E34</f>
        <v>0</v>
      </c>
    </row>
    <row r="35" spans="1:6" ht="12.75" customHeight="1" outlineLevel="1" x14ac:dyDescent="0.3">
      <c r="A35" s="214" t="s">
        <v>495</v>
      </c>
      <c r="B35" s="214">
        <v>1825</v>
      </c>
      <c r="C35" s="215">
        <v>0</v>
      </c>
      <c r="D35" s="215">
        <v>0</v>
      </c>
      <c r="E35" s="215">
        <v>0</v>
      </c>
      <c r="F35" s="215">
        <f>+C35+D35-E35</f>
        <v>0</v>
      </c>
    </row>
    <row r="36" spans="1:6" ht="12.75" customHeight="1" outlineLevel="1" x14ac:dyDescent="0.3">
      <c r="A36" s="214"/>
      <c r="B36" s="214"/>
      <c r="C36" s="215"/>
      <c r="D36" s="215"/>
      <c r="E36" s="215"/>
      <c r="F36" s="215"/>
    </row>
    <row r="37" spans="1:6" ht="12.75" customHeight="1" outlineLevel="1" x14ac:dyDescent="0.3">
      <c r="A37" s="216" t="s">
        <v>445</v>
      </c>
      <c r="B37" s="216"/>
      <c r="C37" s="217">
        <f>SUM(C31:C35)</f>
        <v>0</v>
      </c>
      <c r="D37" s="217">
        <f>SUM(D31:D35)</f>
        <v>0</v>
      </c>
      <c r="E37" s="217">
        <f>SUM(E31:E35)</f>
        <v>0</v>
      </c>
      <c r="F37" s="217">
        <f>SUM(F31:F35)</f>
        <v>0</v>
      </c>
    </row>
  </sheetData>
  <mergeCells count="17">
    <mergeCell ref="F18:F19"/>
    <mergeCell ref="A29:A30"/>
    <mergeCell ref="B29:B30"/>
    <mergeCell ref="C29:C30"/>
    <mergeCell ref="D29:D30"/>
    <mergeCell ref="E29:E30"/>
    <mergeCell ref="F29:F30"/>
    <mergeCell ref="A18:A19"/>
    <mergeCell ref="B18:B19"/>
    <mergeCell ref="C18:C19"/>
    <mergeCell ref="D18:D19"/>
    <mergeCell ref="E18:E19"/>
    <mergeCell ref="A4:A5"/>
    <mergeCell ref="B4:B5"/>
    <mergeCell ref="C4:C5"/>
    <mergeCell ref="D4:D5"/>
    <mergeCell ref="E4:E5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showGridLines="0" topLeftCell="A16" workbookViewId="0"/>
  </sheetViews>
  <sheetFormatPr defaultRowHeight="12.75" customHeight="1" outlineLevelRow="1" x14ac:dyDescent="0.15"/>
  <cols>
    <col min="1" max="1" width="37" style="244" customWidth="1"/>
    <col min="2" max="2" width="0" style="244" hidden="1" customWidth="1"/>
    <col min="3" max="3" width="15.7109375" style="244" customWidth="1"/>
    <col min="4" max="4" width="18.42578125" style="244" customWidth="1"/>
    <col min="5" max="5" width="18" style="244" bestFit="1" customWidth="1"/>
    <col min="6" max="16384" width="9.140625" style="244"/>
  </cols>
  <sheetData>
    <row r="1" spans="1:5" s="243" customFormat="1" ht="12.75" customHeight="1" x14ac:dyDescent="0.15">
      <c r="A1" s="243" t="s">
        <v>504</v>
      </c>
    </row>
    <row r="3" spans="1:5" ht="12.75" customHeight="1" outlineLevel="1" x14ac:dyDescent="0.15">
      <c r="A3" s="243" t="s">
        <v>505</v>
      </c>
    </row>
    <row r="4" spans="1:5" ht="12.75" customHeight="1" outlineLevel="1" x14ac:dyDescent="0.15">
      <c r="A4" s="417" t="s">
        <v>424</v>
      </c>
      <c r="B4" s="419"/>
      <c r="C4" s="419" t="s">
        <v>425</v>
      </c>
      <c r="D4" s="419" t="s">
        <v>426</v>
      </c>
      <c r="E4" s="420" t="s">
        <v>427</v>
      </c>
    </row>
    <row r="5" spans="1:5" ht="12.75" customHeight="1" outlineLevel="1" x14ac:dyDescent="0.15">
      <c r="A5" s="418"/>
      <c r="B5" s="415"/>
      <c r="C5" s="415"/>
      <c r="D5" s="415"/>
      <c r="E5" s="421"/>
    </row>
    <row r="6" spans="1:5" ht="12.75" customHeight="1" outlineLevel="1" x14ac:dyDescent="0.15">
      <c r="A6" s="245" t="s">
        <v>506</v>
      </c>
      <c r="B6" s="245"/>
      <c r="C6" s="246"/>
      <c r="D6" s="246"/>
      <c r="E6" s="246"/>
    </row>
    <row r="7" spans="1:5" ht="12.75" customHeight="1" outlineLevel="1" x14ac:dyDescent="0.15">
      <c r="A7" s="245" t="s">
        <v>507</v>
      </c>
      <c r="B7" s="245" t="s">
        <v>508</v>
      </c>
      <c r="C7" s="246">
        <v>0</v>
      </c>
      <c r="D7" s="246">
        <v>0</v>
      </c>
      <c r="E7" s="246">
        <f>+C7-D7</f>
        <v>0</v>
      </c>
    </row>
    <row r="8" spans="1:5" ht="12.75" customHeight="1" outlineLevel="1" x14ac:dyDescent="0.15">
      <c r="A8" s="247" t="s">
        <v>509</v>
      </c>
      <c r="B8" s="245" t="s">
        <v>510</v>
      </c>
      <c r="C8" s="246">
        <v>0</v>
      </c>
      <c r="D8" s="246">
        <v>0</v>
      </c>
      <c r="E8" s="246">
        <f>+C8-D8</f>
        <v>0</v>
      </c>
    </row>
    <row r="9" spans="1:5" ht="12.75" customHeight="1" outlineLevel="1" x14ac:dyDescent="0.15">
      <c r="A9" s="245" t="s">
        <v>511</v>
      </c>
      <c r="B9" s="245" t="s">
        <v>512</v>
      </c>
      <c r="C9" s="246">
        <v>0</v>
      </c>
      <c r="D9" s="246">
        <v>0</v>
      </c>
      <c r="E9" s="246">
        <f>+C9-D9</f>
        <v>0</v>
      </c>
    </row>
    <row r="10" spans="1:5" ht="12.75" customHeight="1" outlineLevel="1" x14ac:dyDescent="0.15">
      <c r="A10" s="245" t="s">
        <v>513</v>
      </c>
      <c r="B10" s="245">
        <v>1491</v>
      </c>
      <c r="C10" s="246">
        <v>0</v>
      </c>
      <c r="D10" s="246"/>
      <c r="E10" s="246">
        <f>+C10-D10</f>
        <v>0</v>
      </c>
    </row>
    <row r="11" spans="1:5" ht="12.75" customHeight="1" outlineLevel="1" x14ac:dyDescent="0.15">
      <c r="A11" s="245"/>
      <c r="B11" s="245"/>
      <c r="C11" s="246"/>
      <c r="D11" s="246"/>
      <c r="E11" s="246"/>
    </row>
    <row r="12" spans="1:5" ht="12.75" customHeight="1" outlineLevel="1" x14ac:dyDescent="0.15">
      <c r="A12" s="245" t="s">
        <v>514</v>
      </c>
      <c r="B12" s="245"/>
      <c r="C12" s="246"/>
      <c r="D12" s="246"/>
      <c r="E12" s="246"/>
    </row>
    <row r="13" spans="1:5" ht="12.75" customHeight="1" outlineLevel="1" x14ac:dyDescent="0.15">
      <c r="A13" s="245" t="s">
        <v>507</v>
      </c>
      <c r="B13" s="245" t="s">
        <v>515</v>
      </c>
      <c r="C13" s="246">
        <v>0</v>
      </c>
      <c r="D13" s="246">
        <v>0</v>
      </c>
      <c r="E13" s="246">
        <f>+C13-D13</f>
        <v>0</v>
      </c>
    </row>
    <row r="14" spans="1:5" ht="12.75" customHeight="1" outlineLevel="1" x14ac:dyDescent="0.15">
      <c r="A14" s="247" t="s">
        <v>509</v>
      </c>
      <c r="B14" s="245" t="s">
        <v>516</v>
      </c>
      <c r="C14" s="246">
        <v>0</v>
      </c>
      <c r="D14" s="246">
        <v>0</v>
      </c>
      <c r="E14" s="246">
        <f>+C14-D14</f>
        <v>0</v>
      </c>
    </row>
    <row r="15" spans="1:5" ht="12.75" customHeight="1" outlineLevel="1" x14ac:dyDescent="0.15">
      <c r="A15" s="245" t="s">
        <v>511</v>
      </c>
      <c r="B15" s="245" t="s">
        <v>517</v>
      </c>
      <c r="C15" s="246">
        <v>0</v>
      </c>
      <c r="D15" s="246">
        <v>0</v>
      </c>
      <c r="E15" s="246">
        <f>+C15-D15</f>
        <v>0</v>
      </c>
    </row>
    <row r="16" spans="1:5" ht="12.75" customHeight="1" outlineLevel="1" x14ac:dyDescent="0.15">
      <c r="A16" s="245" t="s">
        <v>513</v>
      </c>
      <c r="B16" s="245">
        <v>1492</v>
      </c>
      <c r="C16" s="246">
        <v>0</v>
      </c>
      <c r="D16" s="246"/>
      <c r="E16" s="246"/>
    </row>
    <row r="17" spans="1:8" ht="12.75" customHeight="1" outlineLevel="1" x14ac:dyDescent="0.15">
      <c r="A17" s="245"/>
      <c r="B17" s="245"/>
      <c r="C17" s="246"/>
      <c r="D17" s="246"/>
      <c r="E17" s="246"/>
    </row>
    <row r="18" spans="1:8" ht="12.75" customHeight="1" outlineLevel="1" x14ac:dyDescent="0.15">
      <c r="A18" s="248" t="s">
        <v>445</v>
      </c>
      <c r="B18" s="248"/>
      <c r="C18" s="249">
        <f>SUM(C7:C16)</f>
        <v>0</v>
      </c>
      <c r="D18" s="249">
        <f>SUM(D7:D16)</f>
        <v>0</v>
      </c>
      <c r="E18" s="249">
        <f>SUM(E7:E16)</f>
        <v>0</v>
      </c>
    </row>
    <row r="19" spans="1:8" ht="12.75" customHeight="1" outlineLevel="1" x14ac:dyDescent="0.15"/>
    <row r="20" spans="1:8" ht="12.75" customHeight="1" outlineLevel="1" x14ac:dyDescent="0.15">
      <c r="A20" s="244" t="s">
        <v>518</v>
      </c>
    </row>
    <row r="21" spans="1:8" ht="12.75" customHeight="1" outlineLevel="1" x14ac:dyDescent="0.15">
      <c r="A21" s="244" t="s">
        <v>519</v>
      </c>
    </row>
    <row r="22" spans="1:8" ht="12.75" customHeight="1" outlineLevel="1" x14ac:dyDescent="0.15"/>
    <row r="23" spans="1:8" ht="12.75" customHeight="1" outlineLevel="1" x14ac:dyDescent="0.15"/>
    <row r="24" spans="1:8" ht="12.75" customHeight="1" outlineLevel="1" x14ac:dyDescent="0.15">
      <c r="A24" s="415" t="s">
        <v>520</v>
      </c>
      <c r="B24" s="415"/>
      <c r="C24" s="415" t="s">
        <v>521</v>
      </c>
      <c r="D24" s="415"/>
      <c r="E24" s="416" t="s">
        <v>522</v>
      </c>
      <c r="F24" s="415" t="s">
        <v>523</v>
      </c>
      <c r="G24" s="415" t="s">
        <v>524</v>
      </c>
      <c r="H24" s="415" t="s">
        <v>525</v>
      </c>
    </row>
    <row r="25" spans="1:8" ht="12.75" customHeight="1" outlineLevel="1" x14ac:dyDescent="0.15">
      <c r="A25" s="415"/>
      <c r="B25" s="415"/>
      <c r="C25" s="415" t="s">
        <v>526</v>
      </c>
      <c r="D25" s="415" t="s">
        <v>527</v>
      </c>
      <c r="E25" s="416"/>
      <c r="F25" s="415"/>
      <c r="G25" s="415"/>
      <c r="H25" s="415"/>
    </row>
    <row r="26" spans="1:8" ht="12.75" customHeight="1" outlineLevel="1" x14ac:dyDescent="0.15">
      <c r="A26" s="415"/>
      <c r="B26" s="415"/>
      <c r="C26" s="415"/>
      <c r="D26" s="415"/>
      <c r="E26" s="416"/>
      <c r="F26" s="415"/>
      <c r="G26" s="415"/>
      <c r="H26" s="415"/>
    </row>
    <row r="27" spans="1:8" ht="21.75" customHeight="1" outlineLevel="1" x14ac:dyDescent="0.15">
      <c r="A27" s="250" t="s">
        <v>528</v>
      </c>
      <c r="B27" s="245"/>
      <c r="C27" s="246"/>
      <c r="D27" s="246"/>
      <c r="E27" s="251"/>
      <c r="F27" s="251"/>
      <c r="G27" s="251"/>
      <c r="H27" s="251"/>
    </row>
    <row r="28" spans="1:8" ht="12.75" customHeight="1" outlineLevel="1" x14ac:dyDescent="0.15">
      <c r="A28" s="245" t="s">
        <v>529</v>
      </c>
      <c r="B28" s="245"/>
      <c r="C28" s="246"/>
      <c r="D28" s="246"/>
      <c r="E28" s="251"/>
      <c r="F28" s="251"/>
      <c r="G28" s="251"/>
      <c r="H28" s="251"/>
    </row>
    <row r="29" spans="1:8" ht="12.75" customHeight="1" outlineLevel="1" x14ac:dyDescent="0.15">
      <c r="A29" s="247" t="s">
        <v>530</v>
      </c>
      <c r="B29" s="245"/>
      <c r="C29" s="246"/>
      <c r="D29" s="246"/>
      <c r="E29" s="251"/>
      <c r="F29" s="251"/>
      <c r="G29" s="251"/>
      <c r="H29" s="251"/>
    </row>
    <row r="30" spans="1:8" ht="12.75" customHeight="1" outlineLevel="1" x14ac:dyDescent="0.15">
      <c r="A30" s="245" t="s">
        <v>531</v>
      </c>
      <c r="B30" s="245"/>
      <c r="C30" s="246"/>
      <c r="D30" s="246"/>
      <c r="E30" s="251"/>
      <c r="F30" s="251"/>
      <c r="G30" s="251"/>
      <c r="H30" s="251"/>
    </row>
    <row r="31" spans="1:8" ht="12.75" customHeight="1" outlineLevel="1" x14ac:dyDescent="0.15">
      <c r="A31" s="248" t="s">
        <v>445</v>
      </c>
      <c r="B31" s="248"/>
      <c r="C31" s="249">
        <f>SUM(C27:C30)</f>
        <v>0</v>
      </c>
      <c r="D31" s="249">
        <f>SUM(D27:D30)</f>
        <v>0</v>
      </c>
      <c r="E31" s="252"/>
      <c r="F31" s="252"/>
      <c r="G31" s="249">
        <f>SUM(G27:G30)</f>
        <v>0</v>
      </c>
      <c r="H31" s="252"/>
    </row>
    <row r="32" spans="1:8" ht="12.75" customHeight="1" outlineLevel="1" x14ac:dyDescent="0.15">
      <c r="B32" s="253"/>
    </row>
    <row r="33" spans="1:8" ht="12.75" customHeight="1" outlineLevel="1" x14ac:dyDescent="0.15"/>
    <row r="34" spans="1:8" ht="12.75" customHeight="1" outlineLevel="1" x14ac:dyDescent="0.15">
      <c r="A34" s="415" t="s">
        <v>520</v>
      </c>
      <c r="B34" s="415"/>
      <c r="C34" s="415" t="s">
        <v>521</v>
      </c>
      <c r="D34" s="415"/>
      <c r="E34" s="416" t="s">
        <v>522</v>
      </c>
      <c r="F34" s="415" t="s">
        <v>523</v>
      </c>
      <c r="G34" s="415" t="s">
        <v>524</v>
      </c>
      <c r="H34" s="415" t="s">
        <v>525</v>
      </c>
    </row>
    <row r="35" spans="1:8" ht="12.75" customHeight="1" outlineLevel="1" x14ac:dyDescent="0.15">
      <c r="A35" s="415"/>
      <c r="B35" s="415"/>
      <c r="C35" s="415" t="s">
        <v>526</v>
      </c>
      <c r="D35" s="415" t="s">
        <v>527</v>
      </c>
      <c r="E35" s="416"/>
      <c r="F35" s="415"/>
      <c r="G35" s="415"/>
      <c r="H35" s="415"/>
    </row>
    <row r="36" spans="1:8" ht="12.75" customHeight="1" outlineLevel="1" x14ac:dyDescent="0.15">
      <c r="A36" s="415"/>
      <c r="B36" s="415"/>
      <c r="C36" s="415"/>
      <c r="D36" s="415"/>
      <c r="E36" s="416"/>
      <c r="F36" s="415"/>
      <c r="G36" s="415"/>
      <c r="H36" s="415"/>
    </row>
    <row r="37" spans="1:8" ht="21" customHeight="1" outlineLevel="1" x14ac:dyDescent="0.15">
      <c r="A37" s="250" t="s">
        <v>532</v>
      </c>
      <c r="B37" s="245"/>
      <c r="C37" s="251"/>
      <c r="D37" s="251"/>
      <c r="E37" s="251"/>
      <c r="F37" s="251"/>
      <c r="G37" s="251"/>
      <c r="H37" s="251"/>
    </row>
    <row r="38" spans="1:8" ht="12.75" customHeight="1" outlineLevel="1" x14ac:dyDescent="0.15">
      <c r="A38" s="245" t="s">
        <v>529</v>
      </c>
      <c r="B38" s="245"/>
      <c r="C38" s="251"/>
      <c r="D38" s="251"/>
      <c r="E38" s="251"/>
      <c r="F38" s="251"/>
      <c r="G38" s="251"/>
      <c r="H38" s="251"/>
    </row>
    <row r="39" spans="1:8" ht="12.75" customHeight="1" outlineLevel="1" x14ac:dyDescent="0.15">
      <c r="A39" s="247" t="s">
        <v>530</v>
      </c>
      <c r="B39" s="245"/>
      <c r="C39" s="251"/>
      <c r="D39" s="251"/>
      <c r="E39" s="251"/>
      <c r="F39" s="251"/>
      <c r="G39" s="251"/>
      <c r="H39" s="251"/>
    </row>
    <row r="40" spans="1:8" ht="12.75" customHeight="1" outlineLevel="1" x14ac:dyDescent="0.15">
      <c r="A40" s="245" t="s">
        <v>531</v>
      </c>
      <c r="B40" s="245"/>
      <c r="C40" s="251"/>
      <c r="D40" s="251"/>
      <c r="E40" s="251"/>
      <c r="F40" s="251"/>
      <c r="G40" s="251"/>
      <c r="H40" s="251"/>
    </row>
    <row r="41" spans="1:8" ht="12.75" customHeight="1" outlineLevel="1" x14ac:dyDescent="0.15">
      <c r="A41" s="248" t="s">
        <v>445</v>
      </c>
      <c r="B41" s="248"/>
      <c r="C41" s="249">
        <f>SUM(C37:C40)</f>
        <v>0</v>
      </c>
      <c r="D41" s="249">
        <f>SUM(D37:D40)</f>
        <v>0</v>
      </c>
      <c r="E41" s="252"/>
      <c r="F41" s="252"/>
      <c r="G41" s="249">
        <f>SUM(G37:G40)</f>
        <v>0</v>
      </c>
      <c r="H41" s="252"/>
    </row>
    <row r="44" spans="1:8" ht="12.75" customHeight="1" outlineLevel="1" x14ac:dyDescent="0.15">
      <c r="A44" s="243" t="s">
        <v>533</v>
      </c>
    </row>
    <row r="45" spans="1:8" ht="12.75" customHeight="1" outlineLevel="1" x14ac:dyDescent="0.15">
      <c r="A45" s="415" t="s">
        <v>424</v>
      </c>
      <c r="B45" s="415"/>
      <c r="C45" s="415" t="s">
        <v>452</v>
      </c>
      <c r="D45" s="415" t="s">
        <v>454</v>
      </c>
      <c r="E45" s="415" t="s">
        <v>500</v>
      </c>
      <c r="F45" s="415" t="s">
        <v>457</v>
      </c>
    </row>
    <row r="46" spans="1:8" ht="12.75" customHeight="1" outlineLevel="1" x14ac:dyDescent="0.15">
      <c r="A46" s="415"/>
      <c r="B46" s="415"/>
      <c r="C46" s="415"/>
      <c r="D46" s="415"/>
      <c r="E46" s="415"/>
      <c r="F46" s="415"/>
    </row>
    <row r="47" spans="1:8" ht="12.75" customHeight="1" outlineLevel="1" x14ac:dyDescent="0.15">
      <c r="A47" s="245" t="s">
        <v>506</v>
      </c>
      <c r="B47" s="245"/>
      <c r="C47" s="246"/>
      <c r="D47" s="246"/>
      <c r="E47" s="246"/>
      <c r="F47" s="246"/>
    </row>
    <row r="48" spans="1:8" ht="12.75" customHeight="1" outlineLevel="1" x14ac:dyDescent="0.15">
      <c r="A48" s="245" t="s">
        <v>507</v>
      </c>
      <c r="B48" s="245">
        <v>1911</v>
      </c>
      <c r="C48" s="246">
        <v>0</v>
      </c>
      <c r="D48" s="246">
        <v>0</v>
      </c>
      <c r="E48" s="246">
        <v>0</v>
      </c>
      <c r="F48" s="246">
        <f>+C48+D48-E48</f>
        <v>0</v>
      </c>
    </row>
    <row r="49" spans="1:6" ht="12.75" customHeight="1" outlineLevel="1" x14ac:dyDescent="0.15">
      <c r="A49" s="247" t="s">
        <v>509</v>
      </c>
      <c r="B49" s="245">
        <v>1912</v>
      </c>
      <c r="C49" s="246">
        <v>0</v>
      </c>
      <c r="D49" s="246">
        <v>0</v>
      </c>
      <c r="E49" s="246">
        <v>0</v>
      </c>
      <c r="F49" s="246">
        <f>+C49+D49-E49</f>
        <v>0</v>
      </c>
    </row>
    <row r="50" spans="1:6" ht="12.75" customHeight="1" outlineLevel="1" x14ac:dyDescent="0.15">
      <c r="A50" s="245" t="s">
        <v>511</v>
      </c>
      <c r="B50" s="245">
        <v>1913</v>
      </c>
      <c r="C50" s="246">
        <v>0</v>
      </c>
      <c r="D50" s="246">
        <v>0</v>
      </c>
      <c r="E50" s="246">
        <v>0</v>
      </c>
      <c r="F50" s="246">
        <f>+C50+D50-E50</f>
        <v>0</v>
      </c>
    </row>
    <row r="51" spans="1:6" ht="12.75" customHeight="1" outlineLevel="1" x14ac:dyDescent="0.15">
      <c r="A51" s="245" t="s">
        <v>513</v>
      </c>
      <c r="B51" s="245"/>
      <c r="C51" s="246"/>
      <c r="D51" s="246"/>
      <c r="E51" s="246"/>
      <c r="F51" s="246"/>
    </row>
    <row r="52" spans="1:6" ht="12.75" customHeight="1" outlineLevel="1" x14ac:dyDescent="0.15">
      <c r="A52" s="245"/>
      <c r="B52" s="245"/>
      <c r="C52" s="246"/>
      <c r="D52" s="246"/>
      <c r="E52" s="246"/>
      <c r="F52" s="246"/>
    </row>
    <row r="53" spans="1:6" ht="12.75" customHeight="1" outlineLevel="1" x14ac:dyDescent="0.15">
      <c r="A53" s="245" t="s">
        <v>514</v>
      </c>
      <c r="B53" s="245"/>
      <c r="C53" s="246"/>
      <c r="D53" s="246"/>
      <c r="E53" s="246"/>
      <c r="F53" s="246"/>
    </row>
    <row r="54" spans="1:6" ht="12.75" customHeight="1" outlineLevel="1" x14ac:dyDescent="0.15">
      <c r="A54" s="245" t="s">
        <v>507</v>
      </c>
      <c r="B54" s="245">
        <v>1921</v>
      </c>
      <c r="C54" s="246">
        <v>0</v>
      </c>
      <c r="D54" s="246">
        <v>0</v>
      </c>
      <c r="E54" s="246">
        <v>0</v>
      </c>
      <c r="F54" s="246">
        <f>+C54+D54-E54</f>
        <v>0</v>
      </c>
    </row>
    <row r="55" spans="1:6" ht="12.75" customHeight="1" outlineLevel="1" x14ac:dyDescent="0.15">
      <c r="A55" s="247" t="s">
        <v>509</v>
      </c>
      <c r="B55" s="245">
        <v>1922</v>
      </c>
      <c r="C55" s="246">
        <v>0</v>
      </c>
      <c r="D55" s="246">
        <v>0</v>
      </c>
      <c r="E55" s="246">
        <v>0</v>
      </c>
      <c r="F55" s="246">
        <f>+C55+D55-E55</f>
        <v>0</v>
      </c>
    </row>
    <row r="56" spans="1:6" ht="12.75" customHeight="1" outlineLevel="1" x14ac:dyDescent="0.15">
      <c r="A56" s="245" t="s">
        <v>511</v>
      </c>
      <c r="B56" s="245">
        <v>1923</v>
      </c>
      <c r="C56" s="246">
        <v>0</v>
      </c>
      <c r="D56" s="246">
        <v>0</v>
      </c>
      <c r="E56" s="246">
        <v>0</v>
      </c>
      <c r="F56" s="246">
        <f>+C56+D56-E56</f>
        <v>0</v>
      </c>
    </row>
    <row r="57" spans="1:6" ht="12.75" customHeight="1" outlineLevel="1" x14ac:dyDescent="0.15">
      <c r="A57" s="245" t="s">
        <v>513</v>
      </c>
      <c r="B57" s="245"/>
      <c r="C57" s="246"/>
      <c r="D57" s="246"/>
      <c r="E57" s="246"/>
      <c r="F57" s="246"/>
    </row>
    <row r="58" spans="1:6" ht="12.75" customHeight="1" outlineLevel="1" x14ac:dyDescent="0.15">
      <c r="A58" s="248" t="s">
        <v>445</v>
      </c>
      <c r="B58" s="248"/>
      <c r="C58" s="249">
        <f>SUM(C48:C57)</f>
        <v>0</v>
      </c>
      <c r="D58" s="249">
        <f>SUM(D48:D57)</f>
        <v>0</v>
      </c>
      <c r="E58" s="249">
        <f>SUM(E48:E57)</f>
        <v>0</v>
      </c>
      <c r="F58" s="249">
        <f>SUM(F48:F57)</f>
        <v>0</v>
      </c>
    </row>
    <row r="61" spans="1:6" ht="12.75" customHeight="1" outlineLevel="1" x14ac:dyDescent="0.15">
      <c r="A61" s="243" t="s">
        <v>534</v>
      </c>
    </row>
    <row r="62" spans="1:6" ht="12.75" customHeight="1" outlineLevel="1" x14ac:dyDescent="0.15">
      <c r="A62" s="415" t="s">
        <v>424</v>
      </c>
      <c r="B62" s="415"/>
      <c r="C62" s="415" t="s">
        <v>535</v>
      </c>
      <c r="D62" s="415"/>
    </row>
    <row r="63" spans="1:6" ht="12.75" customHeight="1" outlineLevel="1" x14ac:dyDescent="0.15">
      <c r="A63" s="415"/>
      <c r="B63" s="415"/>
      <c r="C63" s="415" t="s">
        <v>536</v>
      </c>
      <c r="D63" s="415" t="s">
        <v>427</v>
      </c>
    </row>
    <row r="64" spans="1:6" ht="12.75" customHeight="1" outlineLevel="1" x14ac:dyDescent="0.15">
      <c r="A64" s="415"/>
      <c r="B64" s="415"/>
      <c r="C64" s="415"/>
      <c r="D64" s="415"/>
    </row>
    <row r="65" spans="1:4" ht="12.75" customHeight="1" outlineLevel="1" x14ac:dyDescent="0.15">
      <c r="A65" s="245" t="s">
        <v>506</v>
      </c>
      <c r="B65" s="245"/>
      <c r="C65" s="246"/>
      <c r="D65" s="246"/>
    </row>
    <row r="66" spans="1:4" ht="12.75" customHeight="1" outlineLevel="1" x14ac:dyDescent="0.15">
      <c r="A66" s="245" t="s">
        <v>507</v>
      </c>
      <c r="B66" s="245"/>
      <c r="C66" s="246"/>
      <c r="D66" s="246"/>
    </row>
    <row r="67" spans="1:4" ht="12.75" customHeight="1" outlineLevel="1" x14ac:dyDescent="0.15">
      <c r="A67" s="247" t="s">
        <v>509</v>
      </c>
      <c r="B67" s="245"/>
      <c r="C67" s="246"/>
      <c r="D67" s="246"/>
    </row>
    <row r="68" spans="1:4" ht="12.75" customHeight="1" outlineLevel="1" x14ac:dyDescent="0.15">
      <c r="A68" s="245"/>
      <c r="B68" s="245"/>
      <c r="C68" s="246"/>
      <c r="D68" s="246"/>
    </row>
    <row r="69" spans="1:4" ht="12.75" customHeight="1" outlineLevel="1" x14ac:dyDescent="0.15">
      <c r="A69" s="245" t="s">
        <v>514</v>
      </c>
      <c r="B69" s="245"/>
      <c r="C69" s="246"/>
      <c r="D69" s="246"/>
    </row>
    <row r="70" spans="1:4" ht="12.75" customHeight="1" outlineLevel="1" x14ac:dyDescent="0.15">
      <c r="A70" s="245" t="s">
        <v>507</v>
      </c>
      <c r="B70" s="245"/>
      <c r="C70" s="246"/>
      <c r="D70" s="246"/>
    </row>
    <row r="71" spans="1:4" ht="12.75" customHeight="1" outlineLevel="1" x14ac:dyDescent="0.15">
      <c r="A71" s="247" t="s">
        <v>509</v>
      </c>
      <c r="B71" s="245"/>
      <c r="C71" s="246"/>
      <c r="D71" s="246"/>
    </row>
    <row r="72" spans="1:4" ht="12.75" customHeight="1" outlineLevel="1" x14ac:dyDescent="0.15">
      <c r="A72" s="248" t="s">
        <v>445</v>
      </c>
      <c r="B72" s="248"/>
      <c r="C72" s="249">
        <f>SUM(C65:C71)</f>
        <v>0</v>
      </c>
      <c r="D72" s="249">
        <f>SUM(D65:D71)</f>
        <v>0</v>
      </c>
    </row>
    <row r="75" spans="1:4" ht="12.75" customHeight="1" outlineLevel="1" x14ac:dyDescent="0.15">
      <c r="A75" s="243" t="s">
        <v>537</v>
      </c>
    </row>
    <row r="76" spans="1:4" ht="12.75" customHeight="1" outlineLevel="1" x14ac:dyDescent="0.15">
      <c r="A76" s="415" t="s">
        <v>424</v>
      </c>
      <c r="B76" s="415"/>
      <c r="C76" s="415" t="s">
        <v>538</v>
      </c>
      <c r="D76" s="415" t="s">
        <v>539</v>
      </c>
    </row>
    <row r="77" spans="1:4" ht="12.75" customHeight="1" outlineLevel="1" x14ac:dyDescent="0.15">
      <c r="A77" s="415"/>
      <c r="B77" s="415"/>
      <c r="C77" s="415"/>
      <c r="D77" s="415"/>
    </row>
    <row r="78" spans="1:4" ht="12.75" customHeight="1" outlineLevel="1" x14ac:dyDescent="0.15">
      <c r="A78" s="415"/>
      <c r="B78" s="415"/>
      <c r="C78" s="415"/>
      <c r="D78" s="415"/>
    </row>
    <row r="79" spans="1:4" ht="12.75" customHeight="1" outlineLevel="1" x14ac:dyDescent="0.15">
      <c r="A79" s="245" t="s">
        <v>506</v>
      </c>
      <c r="B79" s="245"/>
      <c r="C79" s="246"/>
      <c r="D79" s="246"/>
    </row>
    <row r="80" spans="1:4" ht="12.75" customHeight="1" outlineLevel="1" x14ac:dyDescent="0.15">
      <c r="A80" s="247" t="s">
        <v>540</v>
      </c>
      <c r="B80" s="245"/>
      <c r="C80" s="246"/>
      <c r="D80" s="246"/>
    </row>
    <row r="81" spans="1:4" ht="12.75" customHeight="1" outlineLevel="1" x14ac:dyDescent="0.15">
      <c r="A81" s="247" t="s">
        <v>541</v>
      </c>
      <c r="B81" s="245"/>
      <c r="C81" s="246"/>
      <c r="D81" s="246"/>
    </row>
    <row r="82" spans="1:4" ht="12.75" customHeight="1" outlineLevel="1" x14ac:dyDescent="0.15">
      <c r="A82" s="245"/>
      <c r="B82" s="245"/>
      <c r="C82" s="246"/>
      <c r="D82" s="246"/>
    </row>
    <row r="83" spans="1:4" ht="12.75" customHeight="1" outlineLevel="1" x14ac:dyDescent="0.15">
      <c r="A83" s="245" t="s">
        <v>514</v>
      </c>
      <c r="B83" s="245"/>
      <c r="C83" s="246"/>
      <c r="D83" s="246"/>
    </row>
    <row r="84" spans="1:4" ht="12.75" customHeight="1" outlineLevel="1" x14ac:dyDescent="0.15">
      <c r="A84" s="247" t="s">
        <v>540</v>
      </c>
      <c r="B84" s="245"/>
      <c r="C84" s="246"/>
      <c r="D84" s="246"/>
    </row>
    <row r="85" spans="1:4" ht="12.75" customHeight="1" outlineLevel="1" x14ac:dyDescent="0.15">
      <c r="A85" s="247" t="s">
        <v>541</v>
      </c>
      <c r="B85" s="245"/>
      <c r="C85" s="246"/>
      <c r="D85" s="246"/>
    </row>
    <row r="86" spans="1:4" ht="12.75" customHeight="1" outlineLevel="1" x14ac:dyDescent="0.15">
      <c r="A86" s="248" t="s">
        <v>445</v>
      </c>
      <c r="B86" s="248"/>
      <c r="C86" s="249">
        <f>SUM(C79:C85)</f>
        <v>0</v>
      </c>
      <c r="D86" s="249"/>
    </row>
  </sheetData>
  <mergeCells count="38">
    <mergeCell ref="A76:A78"/>
    <mergeCell ref="B76:B78"/>
    <mergeCell ref="C76:C78"/>
    <mergeCell ref="D76:D78"/>
    <mergeCell ref="G34:G36"/>
    <mergeCell ref="A62:A64"/>
    <mergeCell ref="B62:B64"/>
    <mergeCell ref="C62:D62"/>
    <mergeCell ref="C63:C64"/>
    <mergeCell ref="D63:D64"/>
    <mergeCell ref="H34:H36"/>
    <mergeCell ref="C35:C36"/>
    <mergeCell ref="D35:D36"/>
    <mergeCell ref="A45:A46"/>
    <mergeCell ref="B45:B46"/>
    <mergeCell ref="C45:C46"/>
    <mergeCell ref="D45:D46"/>
    <mergeCell ref="E45:E46"/>
    <mergeCell ref="F45:F46"/>
    <mergeCell ref="A34:A36"/>
    <mergeCell ref="B34:B36"/>
    <mergeCell ref="C34:D34"/>
    <mergeCell ref="E34:E36"/>
    <mergeCell ref="F34:F36"/>
    <mergeCell ref="F24:F26"/>
    <mergeCell ref="G24:G26"/>
    <mergeCell ref="H24:H26"/>
    <mergeCell ref="C25:C26"/>
    <mergeCell ref="D25:D26"/>
    <mergeCell ref="A24:A26"/>
    <mergeCell ref="B24:B26"/>
    <mergeCell ref="C24:D24"/>
    <mergeCell ref="E24:E26"/>
    <mergeCell ref="A4:A5"/>
    <mergeCell ref="B4:B5"/>
    <mergeCell ref="C4:C5"/>
    <mergeCell ref="D4:D5"/>
    <mergeCell ref="E4:E5"/>
  </mergeCells>
  <pageMargins left="0.75" right="0.75" top="1" bottom="1" header="0" footer="0"/>
  <pageSetup scale="75" orientation="portrait" horizontalDpi="300" verticalDpi="300" r:id="rId1"/>
  <headerFooter alignWithMargins="0"/>
  <rowBreaks count="1" manualBreakCount="1">
    <brk id="5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showGridLines="0" workbookViewId="0">
      <selection activeCell="J11" sqref="J11"/>
    </sheetView>
  </sheetViews>
  <sheetFormatPr defaultRowHeight="12.75" customHeight="1" outlineLevelRow="1" x14ac:dyDescent="0.15"/>
  <cols>
    <col min="1" max="1" width="31.42578125" style="244" customWidth="1"/>
    <col min="2" max="2" width="0" style="244" hidden="1" customWidth="1"/>
    <col min="3" max="3" width="13.28515625" style="244" customWidth="1"/>
    <col min="4" max="4" width="13.42578125" style="244" customWidth="1"/>
    <col min="5" max="5" width="11.42578125" style="244" customWidth="1"/>
    <col min="6" max="6" width="11.140625" style="244" customWidth="1"/>
    <col min="7" max="7" width="11.42578125" style="244" customWidth="1"/>
    <col min="8" max="16384" width="9.140625" style="244"/>
  </cols>
  <sheetData>
    <row r="1" spans="1:8" ht="12.75" customHeight="1" x14ac:dyDescent="0.15">
      <c r="A1" s="243" t="s">
        <v>542</v>
      </c>
    </row>
    <row r="3" spans="1:8" ht="12.75" customHeight="1" outlineLevel="1" x14ac:dyDescent="0.15">
      <c r="A3" s="243" t="s">
        <v>543</v>
      </c>
    </row>
    <row r="4" spans="1:8" ht="12.75" customHeight="1" outlineLevel="1" x14ac:dyDescent="0.15">
      <c r="A4" s="417" t="s">
        <v>424</v>
      </c>
      <c r="B4" s="419"/>
      <c r="C4" s="419" t="s">
        <v>425</v>
      </c>
      <c r="D4" s="419" t="s">
        <v>426</v>
      </c>
      <c r="E4" s="419" t="s">
        <v>544</v>
      </c>
      <c r="F4" s="420" t="s">
        <v>427</v>
      </c>
    </row>
    <row r="5" spans="1:8" ht="12.75" customHeight="1" outlineLevel="1" x14ac:dyDescent="0.15">
      <c r="A5" s="418"/>
      <c r="B5" s="415"/>
      <c r="C5" s="415"/>
      <c r="D5" s="415"/>
      <c r="E5" s="415"/>
      <c r="F5" s="421"/>
    </row>
    <row r="6" spans="1:8" ht="12.75" customHeight="1" outlineLevel="1" x14ac:dyDescent="0.15">
      <c r="A6" s="254" t="s">
        <v>545</v>
      </c>
      <c r="B6" s="254" t="s">
        <v>546</v>
      </c>
      <c r="C6" s="255">
        <v>0</v>
      </c>
      <c r="D6" s="255"/>
      <c r="E6" s="255">
        <v>0</v>
      </c>
      <c r="F6" s="255">
        <f>+C6-D6-E6</f>
        <v>0</v>
      </c>
    </row>
    <row r="7" spans="1:8" ht="12.75" customHeight="1" outlineLevel="1" x14ac:dyDescent="0.15">
      <c r="A7" s="245" t="s">
        <v>547</v>
      </c>
      <c r="B7" s="245" t="s">
        <v>548</v>
      </c>
      <c r="C7" s="246">
        <v>0</v>
      </c>
      <c r="D7" s="246">
        <v>0</v>
      </c>
      <c r="E7" s="246"/>
      <c r="F7" s="246">
        <f>+C7-D7-E7</f>
        <v>0</v>
      </c>
    </row>
    <row r="8" spans="1:8" ht="12.75" customHeight="1" outlineLevel="1" x14ac:dyDescent="0.15">
      <c r="A8" s="247" t="s">
        <v>549</v>
      </c>
      <c r="B8" s="245" t="s">
        <v>550</v>
      </c>
      <c r="C8" s="246">
        <v>0</v>
      </c>
      <c r="D8" s="246"/>
      <c r="E8" s="246">
        <v>0</v>
      </c>
      <c r="F8" s="246">
        <f>+C8-D8-E8</f>
        <v>0</v>
      </c>
    </row>
    <row r="9" spans="1:8" ht="12.75" customHeight="1" outlineLevel="1" x14ac:dyDescent="0.15">
      <c r="A9" s="245" t="s">
        <v>551</v>
      </c>
      <c r="B9" s="245" t="s">
        <v>552</v>
      </c>
      <c r="C9" s="246">
        <v>0</v>
      </c>
      <c r="D9" s="246"/>
      <c r="E9" s="246">
        <v>0</v>
      </c>
      <c r="F9" s="246">
        <f>+C9-D9-E9</f>
        <v>0</v>
      </c>
    </row>
    <row r="10" spans="1:8" ht="12.75" customHeight="1" outlineLevel="1" x14ac:dyDescent="0.15">
      <c r="A10" s="245"/>
      <c r="B10" s="245"/>
      <c r="C10" s="246"/>
      <c r="D10" s="246"/>
      <c r="E10" s="246"/>
      <c r="F10" s="246"/>
    </row>
    <row r="11" spans="1:8" ht="12.75" customHeight="1" outlineLevel="1" x14ac:dyDescent="0.15">
      <c r="A11" s="248" t="s">
        <v>445</v>
      </c>
      <c r="B11" s="248"/>
      <c r="C11" s="249">
        <f>SUM(C6:C9)</f>
        <v>0</v>
      </c>
      <c r="D11" s="249">
        <f>SUM(D6:D9)</f>
        <v>0</v>
      </c>
      <c r="E11" s="249">
        <f>SUM(E6:E9)</f>
        <v>0</v>
      </c>
      <c r="F11" s="249">
        <f>SUM(F6:F9)</f>
        <v>0</v>
      </c>
    </row>
    <row r="14" spans="1:8" ht="12.75" customHeight="1" outlineLevel="1" x14ac:dyDescent="0.15">
      <c r="A14" s="243" t="s">
        <v>553</v>
      </c>
    </row>
    <row r="15" spans="1:8" ht="12.75" customHeight="1" outlineLevel="1" x14ac:dyDescent="0.15">
      <c r="A15" s="417" t="s">
        <v>424</v>
      </c>
      <c r="B15" s="419"/>
      <c r="C15" s="419" t="s">
        <v>452</v>
      </c>
      <c r="D15" s="419" t="s">
        <v>454</v>
      </c>
      <c r="E15" s="419"/>
      <c r="F15" s="419" t="s">
        <v>554</v>
      </c>
      <c r="G15" s="419"/>
      <c r="H15" s="420" t="s">
        <v>445</v>
      </c>
    </row>
    <row r="16" spans="1:8" ht="12.75" customHeight="1" outlineLevel="1" x14ac:dyDescent="0.15">
      <c r="A16" s="418"/>
      <c r="B16" s="415"/>
      <c r="C16" s="415"/>
      <c r="D16" s="415" t="s">
        <v>555</v>
      </c>
      <c r="E16" s="415" t="s">
        <v>453</v>
      </c>
      <c r="F16" s="415" t="s">
        <v>455</v>
      </c>
      <c r="G16" s="415" t="s">
        <v>453</v>
      </c>
      <c r="H16" s="421"/>
    </row>
    <row r="17" spans="1:8" ht="12.75" customHeight="1" outlineLevel="1" x14ac:dyDescent="0.15">
      <c r="A17" s="418"/>
      <c r="B17" s="415"/>
      <c r="C17" s="415"/>
      <c r="D17" s="415"/>
      <c r="E17" s="415"/>
      <c r="F17" s="415"/>
      <c r="G17" s="415"/>
      <c r="H17" s="421"/>
    </row>
    <row r="18" spans="1:8" ht="12.75" customHeight="1" outlineLevel="1" x14ac:dyDescent="0.15">
      <c r="A18" s="254" t="s">
        <v>425</v>
      </c>
      <c r="B18" s="254">
        <v>134</v>
      </c>
      <c r="C18" s="255">
        <v>0</v>
      </c>
      <c r="D18" s="255">
        <v>0</v>
      </c>
      <c r="E18" s="255">
        <v>0</v>
      </c>
      <c r="F18" s="255">
        <v>0</v>
      </c>
      <c r="G18" s="255">
        <v>0</v>
      </c>
      <c r="H18" s="255">
        <f>+C18+D18+E18-F18-G18</f>
        <v>0</v>
      </c>
    </row>
    <row r="19" spans="1:8" ht="12.75" customHeight="1" outlineLevel="1" x14ac:dyDescent="0.15">
      <c r="A19" s="245" t="s">
        <v>426</v>
      </c>
      <c r="B19" s="245">
        <v>183</v>
      </c>
      <c r="C19" s="246">
        <v>0</v>
      </c>
      <c r="D19" s="246">
        <v>0</v>
      </c>
      <c r="E19" s="246">
        <v>0</v>
      </c>
      <c r="F19" s="246">
        <v>0</v>
      </c>
      <c r="G19" s="246">
        <v>0</v>
      </c>
      <c r="H19" s="246">
        <f>+C19+D19+E19-F19-G19</f>
        <v>0</v>
      </c>
    </row>
    <row r="20" spans="1:8" ht="12.75" customHeight="1" outlineLevel="1" x14ac:dyDescent="0.15">
      <c r="A20" s="245"/>
      <c r="B20" s="245"/>
      <c r="C20" s="246"/>
      <c r="D20" s="246"/>
      <c r="E20" s="246"/>
      <c r="F20" s="246"/>
      <c r="G20" s="246"/>
      <c r="H20" s="246"/>
    </row>
    <row r="21" spans="1:8" ht="12.75" customHeight="1" outlineLevel="1" x14ac:dyDescent="0.15">
      <c r="A21" s="248" t="s">
        <v>445</v>
      </c>
      <c r="B21" s="248"/>
      <c r="C21" s="249">
        <f>+C18-C19</f>
        <v>0</v>
      </c>
      <c r="D21" s="249">
        <f t="shared" ref="D21:H21" si="0">+D18-D19</f>
        <v>0</v>
      </c>
      <c r="E21" s="249">
        <f t="shared" si="0"/>
        <v>0</v>
      </c>
      <c r="F21" s="249">
        <f t="shared" si="0"/>
        <v>0</v>
      </c>
      <c r="G21" s="249">
        <f t="shared" si="0"/>
        <v>0</v>
      </c>
      <c r="H21" s="249">
        <f t="shared" si="0"/>
        <v>0</v>
      </c>
    </row>
    <row r="24" spans="1:8" ht="12.75" customHeight="1" outlineLevel="1" x14ac:dyDescent="0.15">
      <c r="A24" s="243" t="s">
        <v>556</v>
      </c>
    </row>
    <row r="25" spans="1:8" ht="12.75" customHeight="1" outlineLevel="1" x14ac:dyDescent="0.15">
      <c r="A25" s="417" t="s">
        <v>424</v>
      </c>
      <c r="B25" s="419"/>
      <c r="C25" s="419" t="s">
        <v>452</v>
      </c>
      <c r="D25" s="419" t="s">
        <v>454</v>
      </c>
      <c r="E25" s="419" t="s">
        <v>500</v>
      </c>
      <c r="F25" s="420" t="s">
        <v>457</v>
      </c>
    </row>
    <row r="26" spans="1:8" ht="12.75" customHeight="1" outlineLevel="1" x14ac:dyDescent="0.15">
      <c r="A26" s="418"/>
      <c r="B26" s="415"/>
      <c r="C26" s="415"/>
      <c r="D26" s="415"/>
      <c r="E26" s="415"/>
      <c r="F26" s="421"/>
    </row>
    <row r="27" spans="1:8" ht="12.75" customHeight="1" outlineLevel="1" x14ac:dyDescent="0.15">
      <c r="A27" s="254" t="s">
        <v>545</v>
      </c>
      <c r="B27" s="254">
        <v>193</v>
      </c>
      <c r="C27" s="255">
        <v>0</v>
      </c>
      <c r="D27" s="255">
        <v>0</v>
      </c>
      <c r="E27" s="255">
        <v>0</v>
      </c>
      <c r="F27" s="255">
        <f>+C27+D27-E27</f>
        <v>0</v>
      </c>
    </row>
    <row r="28" spans="1:8" ht="12.75" customHeight="1" outlineLevel="1" x14ac:dyDescent="0.15">
      <c r="A28" s="247" t="s">
        <v>549</v>
      </c>
      <c r="B28" s="245">
        <v>194</v>
      </c>
      <c r="C28" s="246">
        <v>0</v>
      </c>
      <c r="D28" s="246">
        <v>0</v>
      </c>
      <c r="E28" s="246">
        <v>0</v>
      </c>
      <c r="F28" s="246">
        <f>+C28+D28-E28</f>
        <v>0</v>
      </c>
    </row>
    <row r="29" spans="1:8" ht="12.75" customHeight="1" outlineLevel="1" x14ac:dyDescent="0.15">
      <c r="A29" s="245" t="s">
        <v>551</v>
      </c>
      <c r="B29" s="245">
        <v>199</v>
      </c>
      <c r="C29" s="246">
        <v>0</v>
      </c>
      <c r="D29" s="246">
        <v>0</v>
      </c>
      <c r="E29" s="246">
        <v>0</v>
      </c>
      <c r="F29" s="246">
        <f>+C29+D29-E29</f>
        <v>0</v>
      </c>
    </row>
    <row r="30" spans="1:8" ht="12.75" customHeight="1" outlineLevel="1" x14ac:dyDescent="0.15">
      <c r="A30" s="248" t="s">
        <v>445</v>
      </c>
      <c r="B30" s="248"/>
      <c r="C30" s="249">
        <f>SUM(C27:C29)</f>
        <v>0</v>
      </c>
      <c r="D30" s="249">
        <f t="shared" ref="D30:F30" si="1">SUM(D27:D29)</f>
        <v>0</v>
      </c>
      <c r="E30" s="249">
        <f t="shared" si="1"/>
        <v>0</v>
      </c>
      <c r="F30" s="249">
        <f t="shared" si="1"/>
        <v>0</v>
      </c>
    </row>
    <row r="33" spans="1:8" ht="12.75" hidden="1" customHeight="1" outlineLevel="1" x14ac:dyDescent="0.15">
      <c r="A33" s="243" t="s">
        <v>557</v>
      </c>
    </row>
    <row r="34" spans="1:8" ht="12.75" hidden="1" customHeight="1" outlineLevel="1" x14ac:dyDescent="0.15">
      <c r="A34" s="415" t="s">
        <v>424</v>
      </c>
      <c r="B34" s="415"/>
      <c r="C34" s="415" t="s">
        <v>558</v>
      </c>
      <c r="D34" s="415"/>
      <c r="E34" s="415"/>
      <c r="F34" s="415"/>
      <c r="G34" s="415"/>
      <c r="H34" s="415"/>
    </row>
    <row r="35" spans="1:8" ht="12.75" hidden="1" customHeight="1" outlineLevel="1" x14ac:dyDescent="0.15">
      <c r="A35" s="415"/>
      <c r="B35" s="415"/>
      <c r="C35" s="415" t="s">
        <v>468</v>
      </c>
      <c r="D35" s="415" t="s">
        <v>559</v>
      </c>
      <c r="E35" s="415" t="s">
        <v>560</v>
      </c>
      <c r="F35" s="416" t="s">
        <v>471</v>
      </c>
      <c r="G35" s="415" t="s">
        <v>561</v>
      </c>
      <c r="H35" s="415" t="s">
        <v>562</v>
      </c>
    </row>
    <row r="36" spans="1:8" ht="12.75" hidden="1" customHeight="1" outlineLevel="1" x14ac:dyDescent="0.15">
      <c r="A36" s="415"/>
      <c r="B36" s="415"/>
      <c r="C36" s="415"/>
      <c r="D36" s="415"/>
      <c r="E36" s="415"/>
      <c r="F36" s="416"/>
      <c r="G36" s="415"/>
      <c r="H36" s="415"/>
    </row>
    <row r="37" spans="1:8" ht="17.25" hidden="1" customHeight="1" outlineLevel="1" x14ac:dyDescent="0.15">
      <c r="A37" s="415"/>
      <c r="B37" s="415"/>
      <c r="C37" s="415"/>
      <c r="D37" s="415"/>
      <c r="E37" s="415"/>
      <c r="F37" s="416"/>
      <c r="G37" s="415"/>
      <c r="H37" s="415"/>
    </row>
    <row r="38" spans="1:8" ht="12.75" hidden="1" customHeight="1" outlineLevel="1" x14ac:dyDescent="0.15">
      <c r="A38" s="256" t="s">
        <v>547</v>
      </c>
      <c r="B38" s="256">
        <v>134</v>
      </c>
      <c r="C38" s="257"/>
      <c r="D38" s="257"/>
      <c r="E38" s="257"/>
      <c r="F38" s="257"/>
      <c r="G38" s="257"/>
      <c r="H38" s="257"/>
    </row>
    <row r="39" spans="1:8" ht="12.75" hidden="1" customHeight="1" outlineLevel="1" x14ac:dyDescent="0.15"/>
    <row r="40" spans="1:8" ht="12.75" hidden="1" customHeight="1" outlineLevel="1" x14ac:dyDescent="0.15">
      <c r="A40" s="244" t="s">
        <v>476</v>
      </c>
    </row>
    <row r="41" spans="1:8" ht="12.75" hidden="1" customHeight="1" outlineLevel="1" x14ac:dyDescent="0.15">
      <c r="A41" s="244" t="s">
        <v>563</v>
      </c>
    </row>
    <row r="42" spans="1:8" ht="12.75" hidden="1" customHeight="1" outlineLevel="1" x14ac:dyDescent="0.15"/>
    <row r="43" spans="1:8" ht="12.75" hidden="1" customHeight="1" outlineLevel="1" x14ac:dyDescent="0.15"/>
    <row r="44" spans="1:8" ht="15" hidden="1" customHeight="1" outlineLevel="1" x14ac:dyDescent="0.15">
      <c r="A44" s="415" t="s">
        <v>424</v>
      </c>
      <c r="B44" s="415"/>
      <c r="C44" s="415" t="s">
        <v>535</v>
      </c>
      <c r="D44" s="415"/>
    </row>
    <row r="45" spans="1:8" ht="12.75" hidden="1" customHeight="1" outlineLevel="1" x14ac:dyDescent="0.15">
      <c r="A45" s="415"/>
      <c r="B45" s="415"/>
      <c r="C45" s="415" t="s">
        <v>536</v>
      </c>
      <c r="D45" s="415" t="s">
        <v>564</v>
      </c>
    </row>
    <row r="46" spans="1:8" ht="12.75" hidden="1" customHeight="1" outlineLevel="1" x14ac:dyDescent="0.15">
      <c r="A46" s="415"/>
      <c r="B46" s="415"/>
      <c r="C46" s="415"/>
      <c r="D46" s="415"/>
    </row>
    <row r="47" spans="1:8" ht="12.75" hidden="1" customHeight="1" outlineLevel="1" x14ac:dyDescent="0.15">
      <c r="A47" s="254" t="s">
        <v>545</v>
      </c>
      <c r="B47" s="254">
        <v>133</v>
      </c>
      <c r="C47" s="255"/>
      <c r="D47" s="255"/>
    </row>
    <row r="48" spans="1:8" ht="12.75" hidden="1" customHeight="1" outlineLevel="1" x14ac:dyDescent="0.15">
      <c r="A48" s="247" t="s">
        <v>549</v>
      </c>
      <c r="B48" s="245">
        <v>135</v>
      </c>
      <c r="C48" s="246"/>
      <c r="D48" s="246"/>
    </row>
    <row r="49" spans="1:4" ht="12.75" hidden="1" customHeight="1" outlineLevel="1" x14ac:dyDescent="0.15">
      <c r="A49" s="245" t="s">
        <v>551</v>
      </c>
      <c r="B49" s="245">
        <v>139</v>
      </c>
      <c r="C49" s="246"/>
      <c r="D49" s="246"/>
    </row>
    <row r="50" spans="1:4" ht="12.75" hidden="1" customHeight="1" outlineLevel="1" x14ac:dyDescent="0.15">
      <c r="A50" s="248" t="s">
        <v>445</v>
      </c>
      <c r="B50" s="248"/>
      <c r="C50" s="249"/>
      <c r="D50" s="249">
        <f>+D47-D49</f>
        <v>0</v>
      </c>
    </row>
    <row r="51" spans="1:4" ht="12.75" hidden="1" customHeight="1" outlineLevel="1" x14ac:dyDescent="0.15"/>
    <row r="52" spans="1:4" ht="12.75" hidden="1" customHeight="1" outlineLevel="1" x14ac:dyDescent="0.15">
      <c r="A52" s="244" t="s">
        <v>565</v>
      </c>
    </row>
    <row r="53" spans="1:4" ht="12.75" customHeight="1" collapsed="1" x14ac:dyDescent="0.15"/>
  </sheetData>
  <mergeCells count="36">
    <mergeCell ref="A44:A46"/>
    <mergeCell ref="B44:B46"/>
    <mergeCell ref="C44:D44"/>
    <mergeCell ref="C45:C46"/>
    <mergeCell ref="D45:D46"/>
    <mergeCell ref="A34:A37"/>
    <mergeCell ref="B34:B37"/>
    <mergeCell ref="C34:H34"/>
    <mergeCell ref="C35:C37"/>
    <mergeCell ref="D35:D37"/>
    <mergeCell ref="E35:E37"/>
    <mergeCell ref="F35:F37"/>
    <mergeCell ref="G35:G37"/>
    <mergeCell ref="H35:H37"/>
    <mergeCell ref="F25:F26"/>
    <mergeCell ref="A15:A17"/>
    <mergeCell ref="B15:B17"/>
    <mergeCell ref="C15:C17"/>
    <mergeCell ref="D15:E15"/>
    <mergeCell ref="F15:G15"/>
    <mergeCell ref="A25:A26"/>
    <mergeCell ref="B25:B26"/>
    <mergeCell ref="C25:C26"/>
    <mergeCell ref="D25:D26"/>
    <mergeCell ref="E25:E26"/>
    <mergeCell ref="H15:H17"/>
    <mergeCell ref="D16:D17"/>
    <mergeCell ref="E16:E17"/>
    <mergeCell ref="F16:F17"/>
    <mergeCell ref="G16:G17"/>
    <mergeCell ref="F4:F5"/>
    <mergeCell ref="A4:A5"/>
    <mergeCell ref="B4:B5"/>
    <mergeCell ref="C4:C5"/>
    <mergeCell ref="D4:D5"/>
    <mergeCell ref="E4:E5"/>
  </mergeCells>
  <pageMargins left="0.75" right="0.75" top="1" bottom="1" header="0" footer="0"/>
  <pageSetup scale="87" orientation="portrait" horizontalDpi="300" verticalDpi="300" r:id="rId1"/>
  <headerFooter alignWithMargins="0"/>
  <colBreaks count="1" manualBreakCount="1">
    <brk id="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showGridLines="0" workbookViewId="0">
      <selection activeCell="L16" sqref="L16"/>
    </sheetView>
  </sheetViews>
  <sheetFormatPr defaultRowHeight="12.75" customHeight="1" outlineLevelRow="1" x14ac:dyDescent="0.3"/>
  <cols>
    <col min="1" max="1" width="45.28515625" style="210" customWidth="1"/>
    <col min="2" max="2" width="0" style="210" hidden="1" customWidth="1"/>
    <col min="3" max="3" width="14.140625" style="210" customWidth="1"/>
    <col min="4" max="4" width="12.85546875" style="210" customWidth="1"/>
    <col min="5" max="5" width="14.28515625" style="210" customWidth="1"/>
    <col min="6" max="6" width="13.5703125" style="210" bestFit="1" customWidth="1"/>
    <col min="7" max="7" width="10.5703125" style="210" customWidth="1"/>
    <col min="8" max="11" width="0" style="210" hidden="1" customWidth="1"/>
    <col min="12" max="16384" width="9.140625" style="210"/>
  </cols>
  <sheetData>
    <row r="1" spans="1:14" ht="12.75" customHeight="1" x14ac:dyDescent="0.3">
      <c r="A1" s="209" t="s">
        <v>566</v>
      </c>
    </row>
    <row r="3" spans="1:14" ht="12.75" customHeight="1" outlineLevel="1" x14ac:dyDescent="0.3">
      <c r="A3" s="209" t="s">
        <v>567</v>
      </c>
    </row>
    <row r="4" spans="1:14" ht="12.75" customHeight="1" outlineLevel="1" x14ac:dyDescent="0.3">
      <c r="A4" s="393" t="s">
        <v>424</v>
      </c>
      <c r="B4" s="395"/>
      <c r="C4" s="395" t="s">
        <v>568</v>
      </c>
      <c r="D4" s="395" t="s">
        <v>569</v>
      </c>
      <c r="E4" s="424" t="s">
        <v>564</v>
      </c>
    </row>
    <row r="5" spans="1:14" ht="12.75" customHeight="1" outlineLevel="1" x14ac:dyDescent="0.3">
      <c r="A5" s="394"/>
      <c r="B5" s="396"/>
      <c r="C5" s="396"/>
      <c r="D5" s="396"/>
      <c r="E5" s="425"/>
    </row>
    <row r="6" spans="1:14" ht="12.75" customHeight="1" outlineLevel="1" x14ac:dyDescent="0.3">
      <c r="A6" s="422"/>
      <c r="B6" s="423"/>
      <c r="C6" s="423"/>
      <c r="D6" s="423"/>
      <c r="E6" s="426"/>
    </row>
    <row r="7" spans="1:14" ht="12.75" customHeight="1" outlineLevel="1" x14ac:dyDescent="0.3">
      <c r="A7" s="240" t="s">
        <v>570</v>
      </c>
      <c r="B7" s="214" t="s">
        <v>571</v>
      </c>
      <c r="C7" s="215">
        <v>0</v>
      </c>
      <c r="D7" s="215">
        <v>0</v>
      </c>
      <c r="E7" s="215">
        <f t="shared" ref="E7:E12" si="0">+C7-D7</f>
        <v>0</v>
      </c>
    </row>
    <row r="8" spans="1:14" ht="12.75" customHeight="1" outlineLevel="1" x14ac:dyDescent="0.3">
      <c r="A8" s="214" t="s">
        <v>572</v>
      </c>
      <c r="B8" s="214" t="s">
        <v>573</v>
      </c>
      <c r="C8" s="258">
        <v>0</v>
      </c>
      <c r="D8" s="258">
        <v>0</v>
      </c>
      <c r="E8" s="258">
        <f t="shared" si="0"/>
        <v>0</v>
      </c>
    </row>
    <row r="9" spans="1:14" ht="12.75" customHeight="1" outlineLevel="1" x14ac:dyDescent="0.3">
      <c r="A9" s="240" t="s">
        <v>574</v>
      </c>
      <c r="B9" s="214" t="s">
        <v>575</v>
      </c>
      <c r="C9" s="258">
        <v>0</v>
      </c>
      <c r="D9" s="258">
        <v>0</v>
      </c>
      <c r="E9" s="258">
        <f t="shared" si="0"/>
        <v>0</v>
      </c>
    </row>
    <row r="10" spans="1:14" ht="12.75" customHeight="1" outlineLevel="1" x14ac:dyDescent="0.35">
      <c r="A10" s="240" t="s">
        <v>576</v>
      </c>
      <c r="B10" s="214" t="s">
        <v>577</v>
      </c>
      <c r="C10" s="258">
        <v>0</v>
      </c>
      <c r="D10" s="258">
        <v>0</v>
      </c>
      <c r="E10" s="258">
        <f t="shared" si="0"/>
        <v>0</v>
      </c>
      <c r="M10" s="238"/>
      <c r="N10" s="239"/>
    </row>
    <row r="11" spans="1:14" ht="12.75" customHeight="1" outlineLevel="1" x14ac:dyDescent="0.35">
      <c r="A11" s="240" t="s">
        <v>578</v>
      </c>
      <c r="B11" s="214" t="s">
        <v>579</v>
      </c>
      <c r="C11" s="215">
        <v>0</v>
      </c>
      <c r="D11" s="215">
        <v>0</v>
      </c>
      <c r="E11" s="215">
        <f t="shared" si="0"/>
        <v>0</v>
      </c>
      <c r="M11" s="239"/>
      <c r="N11" s="239"/>
    </row>
    <row r="12" spans="1:14" ht="12.75" customHeight="1" outlineLevel="1" x14ac:dyDescent="0.35">
      <c r="A12" s="240" t="s">
        <v>580</v>
      </c>
      <c r="B12" s="214" t="s">
        <v>581</v>
      </c>
      <c r="C12" s="215">
        <v>0</v>
      </c>
      <c r="D12" s="258">
        <v>0</v>
      </c>
      <c r="E12" s="215">
        <f t="shared" si="0"/>
        <v>0</v>
      </c>
      <c r="M12" s="238"/>
      <c r="N12" s="239"/>
    </row>
    <row r="13" spans="1:14" ht="12.75" customHeight="1" outlineLevel="1" x14ac:dyDescent="0.35">
      <c r="A13" s="240"/>
      <c r="B13" s="214"/>
      <c r="C13" s="258"/>
      <c r="D13" s="258"/>
      <c r="E13" s="258"/>
      <c r="M13" s="238"/>
      <c r="N13" s="239"/>
    </row>
    <row r="14" spans="1:14" ht="12.75" customHeight="1" outlineLevel="1" x14ac:dyDescent="0.3">
      <c r="A14" s="216" t="s">
        <v>445</v>
      </c>
      <c r="B14" s="216"/>
      <c r="C14" s="217">
        <f>SUM(C7:C12)</f>
        <v>0</v>
      </c>
      <c r="D14" s="217">
        <f>SUM(D7:D12)</f>
        <v>0</v>
      </c>
      <c r="E14" s="217">
        <f>SUM(E7:E12)</f>
        <v>0</v>
      </c>
    </row>
    <row r="18" spans="1:6" ht="12.75" customHeight="1" outlineLevel="1" x14ac:dyDescent="0.3">
      <c r="A18" s="209" t="s">
        <v>582</v>
      </c>
    </row>
    <row r="19" spans="1:6" ht="12.75" customHeight="1" outlineLevel="1" x14ac:dyDescent="0.3">
      <c r="A19" s="393" t="s">
        <v>424</v>
      </c>
      <c r="B19" s="395"/>
      <c r="C19" s="395" t="s">
        <v>452</v>
      </c>
      <c r="D19" s="395" t="s">
        <v>454</v>
      </c>
      <c r="E19" s="395" t="s">
        <v>500</v>
      </c>
      <c r="F19" s="424" t="s">
        <v>457</v>
      </c>
    </row>
    <row r="20" spans="1:6" ht="12.75" customHeight="1" outlineLevel="1" x14ac:dyDescent="0.3">
      <c r="A20" s="422"/>
      <c r="B20" s="423"/>
      <c r="C20" s="423"/>
      <c r="D20" s="423"/>
      <c r="E20" s="423"/>
      <c r="F20" s="426"/>
    </row>
    <row r="21" spans="1:6" ht="12.75" customHeight="1" outlineLevel="1" x14ac:dyDescent="0.3">
      <c r="A21" s="240" t="s">
        <v>570</v>
      </c>
      <c r="B21" s="214">
        <v>292</v>
      </c>
      <c r="C21" s="215">
        <v>0</v>
      </c>
      <c r="D21" s="215">
        <v>0</v>
      </c>
      <c r="E21" s="215">
        <v>0</v>
      </c>
      <c r="F21" s="215">
        <f t="shared" ref="F21:F26" si="1">+C21+D21-E21</f>
        <v>0</v>
      </c>
    </row>
    <row r="22" spans="1:6" ht="12.75" customHeight="1" outlineLevel="1" x14ac:dyDescent="0.3">
      <c r="A22" s="214" t="s">
        <v>572</v>
      </c>
      <c r="B22" s="214">
        <v>293</v>
      </c>
      <c r="C22" s="215">
        <v>0</v>
      </c>
      <c r="D22" s="215">
        <v>0</v>
      </c>
      <c r="E22" s="215">
        <v>0</v>
      </c>
      <c r="F22" s="215">
        <f t="shared" si="1"/>
        <v>0</v>
      </c>
    </row>
    <row r="23" spans="1:6" ht="12.75" customHeight="1" outlineLevel="1" x14ac:dyDescent="0.3">
      <c r="A23" s="240" t="s">
        <v>574</v>
      </c>
      <c r="B23" s="214">
        <v>294</v>
      </c>
      <c r="C23" s="232">
        <v>0</v>
      </c>
      <c r="D23" s="215">
        <v>0</v>
      </c>
      <c r="E23" s="215">
        <v>0</v>
      </c>
      <c r="F23" s="232">
        <f t="shared" si="1"/>
        <v>0</v>
      </c>
    </row>
    <row r="24" spans="1:6" ht="12.75" customHeight="1" outlineLevel="1" x14ac:dyDescent="0.3">
      <c r="A24" s="240" t="s">
        <v>576</v>
      </c>
      <c r="B24" s="214">
        <v>295</v>
      </c>
      <c r="C24" s="215">
        <v>0</v>
      </c>
      <c r="D24" s="215">
        <v>0</v>
      </c>
      <c r="E24" s="215">
        <v>0</v>
      </c>
      <c r="F24" s="215">
        <f t="shared" si="1"/>
        <v>0</v>
      </c>
    </row>
    <row r="25" spans="1:6" ht="12.75" customHeight="1" outlineLevel="1" x14ac:dyDescent="0.3">
      <c r="A25" s="240" t="s">
        <v>578</v>
      </c>
      <c r="B25" s="214">
        <v>296</v>
      </c>
      <c r="C25" s="232">
        <v>0</v>
      </c>
      <c r="D25" s="215">
        <v>0</v>
      </c>
      <c r="E25" s="215">
        <v>0</v>
      </c>
      <c r="F25" s="232">
        <f t="shared" si="1"/>
        <v>0</v>
      </c>
    </row>
    <row r="26" spans="1:6" ht="12.75" customHeight="1" outlineLevel="1" x14ac:dyDescent="0.3">
      <c r="A26" s="240" t="s">
        <v>580</v>
      </c>
      <c r="B26" s="214">
        <v>297</v>
      </c>
      <c r="C26" s="215">
        <v>0</v>
      </c>
      <c r="D26" s="215">
        <v>0</v>
      </c>
      <c r="E26" s="215">
        <v>0</v>
      </c>
      <c r="F26" s="215">
        <f t="shared" si="1"/>
        <v>0</v>
      </c>
    </row>
    <row r="27" spans="1:6" ht="12.75" customHeight="1" outlineLevel="1" x14ac:dyDescent="0.3">
      <c r="A27" s="220" t="s">
        <v>445</v>
      </c>
      <c r="B27" s="220"/>
      <c r="C27" s="221">
        <f>SUM(C21:C26)</f>
        <v>0</v>
      </c>
      <c r="D27" s="221">
        <f>SUM(D21:D26)</f>
        <v>0</v>
      </c>
      <c r="E27" s="221">
        <f>SUM(E21:E26)</f>
        <v>0</v>
      </c>
      <c r="F27" s="221">
        <f>SUM(F21:F26)</f>
        <v>0</v>
      </c>
    </row>
    <row r="30" spans="1:6" ht="12.75" hidden="1" customHeight="1" outlineLevel="1" x14ac:dyDescent="0.3">
      <c r="A30" s="209" t="s">
        <v>583</v>
      </c>
    </row>
    <row r="31" spans="1:6" ht="12.75" hidden="1" customHeight="1" outlineLevel="1" x14ac:dyDescent="0.3">
      <c r="A31" s="396" t="s">
        <v>424</v>
      </c>
      <c r="B31" s="396"/>
      <c r="C31" s="423" t="s">
        <v>584</v>
      </c>
    </row>
    <row r="32" spans="1:6" ht="12.75" hidden="1" customHeight="1" outlineLevel="1" x14ac:dyDescent="0.3">
      <c r="A32" s="396"/>
      <c r="B32" s="396"/>
      <c r="C32" s="427"/>
    </row>
    <row r="33" spans="1:7" ht="31.5" hidden="1" customHeight="1" outlineLevel="1" x14ac:dyDescent="0.3">
      <c r="A33" s="423"/>
      <c r="B33" s="423"/>
      <c r="C33" s="427"/>
    </row>
    <row r="34" spans="1:7" ht="12.75" hidden="1" customHeight="1" outlineLevel="1" x14ac:dyDescent="0.3">
      <c r="A34" s="240" t="s">
        <v>570</v>
      </c>
      <c r="B34" s="214">
        <v>22</v>
      </c>
      <c r="C34" s="215"/>
    </row>
    <row r="35" spans="1:7" ht="12.75" hidden="1" customHeight="1" outlineLevel="1" x14ac:dyDescent="0.3">
      <c r="A35" s="214" t="s">
        <v>572</v>
      </c>
      <c r="B35" s="214">
        <v>23</v>
      </c>
      <c r="C35" s="215"/>
    </row>
    <row r="36" spans="1:7" ht="12.75" hidden="1" customHeight="1" outlineLevel="1" x14ac:dyDescent="0.3">
      <c r="A36" s="240" t="s">
        <v>574</v>
      </c>
      <c r="B36" s="214">
        <v>24</v>
      </c>
      <c r="C36" s="215"/>
    </row>
    <row r="37" spans="1:7" ht="12.75" hidden="1" customHeight="1" outlineLevel="1" x14ac:dyDescent="0.3">
      <c r="A37" s="240" t="s">
        <v>576</v>
      </c>
      <c r="B37" s="214">
        <v>25</v>
      </c>
      <c r="C37" s="215"/>
    </row>
    <row r="38" spans="1:7" ht="12.75" hidden="1" customHeight="1" outlineLevel="1" x14ac:dyDescent="0.3">
      <c r="A38" s="240" t="s">
        <v>578</v>
      </c>
      <c r="B38" s="214">
        <v>26</v>
      </c>
      <c r="C38" s="215"/>
    </row>
    <row r="39" spans="1:7" ht="12.75" hidden="1" customHeight="1" outlineLevel="1" x14ac:dyDescent="0.3">
      <c r="A39" s="240" t="s">
        <v>580</v>
      </c>
      <c r="B39" s="214">
        <v>27</v>
      </c>
      <c r="C39" s="215"/>
    </row>
    <row r="40" spans="1:7" ht="12.75" hidden="1" customHeight="1" outlineLevel="1" x14ac:dyDescent="0.3">
      <c r="A40" s="220" t="s">
        <v>445</v>
      </c>
      <c r="B40" s="220"/>
      <c r="C40" s="221"/>
    </row>
    <row r="41" spans="1:7" ht="12.75" customHeight="1" collapsed="1" x14ac:dyDescent="0.3">
      <c r="C41" s="242"/>
      <c r="D41" s="242"/>
    </row>
    <row r="43" spans="1:7" ht="12.75" hidden="1" customHeight="1" outlineLevel="1" x14ac:dyDescent="0.3">
      <c r="A43" s="209" t="s">
        <v>585</v>
      </c>
    </row>
    <row r="44" spans="1:7" ht="12.75" hidden="1" customHeight="1" outlineLevel="1" x14ac:dyDescent="0.3">
      <c r="A44" s="396" t="s">
        <v>424</v>
      </c>
      <c r="B44" s="396"/>
      <c r="C44" s="396" t="s">
        <v>586</v>
      </c>
      <c r="D44" s="396"/>
      <c r="E44" s="396"/>
      <c r="F44" s="396"/>
      <c r="G44" s="396"/>
    </row>
    <row r="45" spans="1:7" ht="12.75" hidden="1" customHeight="1" outlineLevel="1" x14ac:dyDescent="0.3">
      <c r="A45" s="396"/>
      <c r="B45" s="396"/>
      <c r="C45" s="396" t="s">
        <v>587</v>
      </c>
      <c r="D45" s="396" t="s">
        <v>588</v>
      </c>
      <c r="E45" s="396"/>
      <c r="F45" s="396"/>
      <c r="G45" s="396" t="s">
        <v>589</v>
      </c>
    </row>
    <row r="46" spans="1:7" ht="12.75" hidden="1" customHeight="1" outlineLevel="1" x14ac:dyDescent="0.3">
      <c r="A46" s="396"/>
      <c r="B46" s="396"/>
      <c r="C46" s="396"/>
      <c r="D46" s="396" t="s">
        <v>462</v>
      </c>
      <c r="E46" s="396" t="s">
        <v>590</v>
      </c>
      <c r="F46" s="396" t="s">
        <v>445</v>
      </c>
      <c r="G46" s="396"/>
    </row>
    <row r="47" spans="1:7" ht="12.75" hidden="1" customHeight="1" outlineLevel="1" x14ac:dyDescent="0.3">
      <c r="A47" s="423"/>
      <c r="B47" s="423"/>
      <c r="C47" s="423"/>
      <c r="D47" s="423"/>
      <c r="E47" s="423"/>
      <c r="F47" s="423"/>
      <c r="G47" s="423"/>
    </row>
    <row r="48" spans="1:7" ht="12.75" hidden="1" customHeight="1" outlineLevel="1" x14ac:dyDescent="0.3">
      <c r="A48" s="214" t="s">
        <v>591</v>
      </c>
      <c r="B48" s="214"/>
      <c r="C48" s="215"/>
      <c r="D48" s="215"/>
      <c r="E48" s="215"/>
      <c r="F48" s="215">
        <f>+D48+E48</f>
        <v>0</v>
      </c>
      <c r="G48" s="215"/>
    </row>
    <row r="49" spans="1:7" ht="12.75" hidden="1" customHeight="1" outlineLevel="1" x14ac:dyDescent="0.3">
      <c r="A49" s="214" t="s">
        <v>592</v>
      </c>
      <c r="B49" s="214"/>
      <c r="C49" s="215"/>
      <c r="D49" s="215"/>
      <c r="E49" s="215"/>
      <c r="F49" s="215">
        <f>+D49+E49</f>
        <v>0</v>
      </c>
      <c r="G49" s="215"/>
    </row>
    <row r="50" spans="1:7" ht="12.75" hidden="1" customHeight="1" outlineLevel="1" x14ac:dyDescent="0.3">
      <c r="A50" s="214" t="s">
        <v>593</v>
      </c>
      <c r="B50" s="214"/>
      <c r="C50" s="215"/>
      <c r="D50" s="215"/>
      <c r="E50" s="215"/>
      <c r="F50" s="215">
        <f>+D50+E50</f>
        <v>0</v>
      </c>
      <c r="G50" s="215"/>
    </row>
    <row r="51" spans="1:7" ht="12.75" hidden="1" customHeight="1" outlineLevel="1" x14ac:dyDescent="0.3">
      <c r="A51" s="214" t="s">
        <v>594</v>
      </c>
      <c r="B51" s="214"/>
      <c r="C51" s="215"/>
      <c r="D51" s="215"/>
      <c r="E51" s="215"/>
      <c r="F51" s="215">
        <f>+D51+E51</f>
        <v>0</v>
      </c>
      <c r="G51" s="215"/>
    </row>
    <row r="52" spans="1:7" ht="12.75" hidden="1" customHeight="1" outlineLevel="1" x14ac:dyDescent="0.3">
      <c r="A52" s="220" t="s">
        <v>445</v>
      </c>
      <c r="B52" s="220"/>
      <c r="C52" s="221">
        <f>SUM(C48:C51)</f>
        <v>0</v>
      </c>
      <c r="D52" s="221">
        <f>SUM(D48:D51)</f>
        <v>0</v>
      </c>
      <c r="E52" s="221">
        <f>SUM(E48:E51)</f>
        <v>0</v>
      </c>
      <c r="F52" s="221">
        <f>SUM(F48:F51)</f>
        <v>0</v>
      </c>
      <c r="G52" s="221">
        <f>SUM(G48:G51)</f>
        <v>0</v>
      </c>
    </row>
    <row r="53" spans="1:7" ht="12.75" hidden="1" customHeight="1" outlineLevel="1" x14ac:dyDescent="0.3"/>
    <row r="54" spans="1:7" ht="21" hidden="1" customHeight="1" outlineLevel="1" x14ac:dyDescent="0.3">
      <c r="A54" s="428" t="s">
        <v>595</v>
      </c>
      <c r="B54" s="428"/>
      <c r="C54" s="428"/>
      <c r="D54" s="428"/>
      <c r="E54" s="428"/>
      <c r="F54" s="428"/>
      <c r="G54" s="428"/>
    </row>
    <row r="55" spans="1:7" ht="12.75" hidden="1" customHeight="1" outlineLevel="1" x14ac:dyDescent="0.3">
      <c r="A55" s="210" t="s">
        <v>596</v>
      </c>
    </row>
    <row r="56" spans="1:7" ht="12.75" hidden="1" customHeight="1" outlineLevel="1" x14ac:dyDescent="0.3"/>
    <row r="57" spans="1:7" ht="12.75" hidden="1" customHeight="1" outlineLevel="1" x14ac:dyDescent="0.3"/>
    <row r="58" spans="1:7" ht="12.75" hidden="1" customHeight="1" outlineLevel="1" x14ac:dyDescent="0.3">
      <c r="A58" s="396" t="s">
        <v>424</v>
      </c>
      <c r="B58" s="396"/>
      <c r="C58" s="396" t="s">
        <v>597</v>
      </c>
      <c r="D58" s="396" t="s">
        <v>598</v>
      </c>
      <c r="E58" s="396" t="s">
        <v>599</v>
      </c>
      <c r="F58" s="396" t="s">
        <v>445</v>
      </c>
    </row>
    <row r="59" spans="1:7" ht="12.75" hidden="1" customHeight="1" outlineLevel="1" x14ac:dyDescent="0.3">
      <c r="A59" s="396"/>
      <c r="B59" s="396"/>
      <c r="C59" s="396"/>
      <c r="D59" s="396"/>
      <c r="E59" s="396"/>
      <c r="F59" s="396"/>
    </row>
    <row r="60" spans="1:7" ht="12.75" hidden="1" customHeight="1" outlineLevel="1" x14ac:dyDescent="0.3">
      <c r="A60" s="396"/>
      <c r="B60" s="396"/>
      <c r="C60" s="396"/>
      <c r="D60" s="396"/>
      <c r="E60" s="396"/>
      <c r="F60" s="396"/>
    </row>
    <row r="61" spans="1:7" ht="12.75" hidden="1" customHeight="1" outlineLevel="1" x14ac:dyDescent="0.3">
      <c r="A61" s="423"/>
      <c r="B61" s="423"/>
      <c r="C61" s="423"/>
      <c r="D61" s="423"/>
      <c r="E61" s="423"/>
      <c r="F61" s="423"/>
    </row>
    <row r="62" spans="1:7" ht="12.75" hidden="1" customHeight="1" outlineLevel="1" x14ac:dyDescent="0.3">
      <c r="A62" s="214" t="s">
        <v>600</v>
      </c>
      <c r="B62" s="214"/>
      <c r="C62" s="215"/>
      <c r="D62" s="215"/>
      <c r="E62" s="215"/>
      <c r="F62" s="215">
        <f>+C62+D62+E62</f>
        <v>0</v>
      </c>
    </row>
    <row r="63" spans="1:7" ht="12.75" hidden="1" customHeight="1" outlineLevel="1" x14ac:dyDescent="0.3">
      <c r="A63" s="214" t="s">
        <v>592</v>
      </c>
      <c r="B63" s="214"/>
      <c r="C63" s="215"/>
      <c r="D63" s="215"/>
      <c r="E63" s="215"/>
      <c r="F63" s="215">
        <f>+C63+D63+E63</f>
        <v>0</v>
      </c>
    </row>
    <row r="64" spans="1:7" ht="12.75" hidden="1" customHeight="1" outlineLevel="1" x14ac:dyDescent="0.3">
      <c r="A64" s="220" t="s">
        <v>445</v>
      </c>
      <c r="B64" s="220"/>
      <c r="C64" s="221">
        <f>+C63-C62</f>
        <v>0</v>
      </c>
      <c r="D64" s="221">
        <f>+D63-D62</f>
        <v>0</v>
      </c>
      <c r="E64" s="221">
        <f>+E63-E62</f>
        <v>0</v>
      </c>
      <c r="F64" s="221">
        <f>+F63-F62</f>
        <v>0</v>
      </c>
    </row>
    <row r="65" spans="3:5" ht="12.75" hidden="1" customHeight="1" outlineLevel="1" x14ac:dyDescent="0.3">
      <c r="C65" s="412" t="s">
        <v>601</v>
      </c>
      <c r="D65" s="412" t="s">
        <v>602</v>
      </c>
      <c r="E65" s="412" t="s">
        <v>603</v>
      </c>
    </row>
    <row r="66" spans="3:5" ht="12.75" hidden="1" customHeight="1" outlineLevel="1" x14ac:dyDescent="0.3">
      <c r="C66" s="396"/>
      <c r="D66" s="396"/>
      <c r="E66" s="396"/>
    </row>
    <row r="67" spans="3:5" ht="12.75" hidden="1" customHeight="1" outlineLevel="1" x14ac:dyDescent="0.3">
      <c r="C67" s="396"/>
      <c r="D67" s="396"/>
      <c r="E67" s="396"/>
    </row>
    <row r="68" spans="3:5" ht="12.75" hidden="1" customHeight="1" outlineLevel="1" x14ac:dyDescent="0.3">
      <c r="C68" s="396"/>
      <c r="D68" s="396"/>
      <c r="E68" s="396"/>
    </row>
    <row r="69" spans="3:5" ht="12.75" customHeight="1" collapsed="1" x14ac:dyDescent="0.3"/>
  </sheetData>
  <mergeCells count="33">
    <mergeCell ref="C65:C68"/>
    <mergeCell ref="D65:D68"/>
    <mergeCell ref="E65:E68"/>
    <mergeCell ref="D46:D47"/>
    <mergeCell ref="E46:E47"/>
    <mergeCell ref="A54:G54"/>
    <mergeCell ref="A58:A61"/>
    <mergeCell ref="B58:B61"/>
    <mergeCell ref="C58:C61"/>
    <mergeCell ref="D58:D61"/>
    <mergeCell ref="E58:E61"/>
    <mergeCell ref="F58:F61"/>
    <mergeCell ref="F19:F20"/>
    <mergeCell ref="A31:A33"/>
    <mergeCell ref="B31:B33"/>
    <mergeCell ref="C31:C33"/>
    <mergeCell ref="A44:A47"/>
    <mergeCell ref="B44:B47"/>
    <mergeCell ref="C44:G44"/>
    <mergeCell ref="C45:C47"/>
    <mergeCell ref="D45:F45"/>
    <mergeCell ref="G45:G47"/>
    <mergeCell ref="A19:A20"/>
    <mergeCell ref="B19:B20"/>
    <mergeCell ref="C19:C20"/>
    <mergeCell ref="D19:D20"/>
    <mergeCell ref="E19:E20"/>
    <mergeCell ref="F46:F47"/>
    <mergeCell ref="A4:A6"/>
    <mergeCell ref="B4:B6"/>
    <mergeCell ref="C4:C6"/>
    <mergeCell ref="D4:D6"/>
    <mergeCell ref="E4:E6"/>
  </mergeCells>
  <pageMargins left="0.75" right="0.75" top="1" bottom="1" header="0" footer="0"/>
  <pageSetup orientation="portrait" horizontalDpi="300" verticalDpi="300" r:id="rId1"/>
  <headerFooter alignWithMargins="0"/>
  <rowBreaks count="1" manualBreakCount="1">
    <brk id="4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topLeftCell="A13" workbookViewId="0">
      <selection activeCell="I34" sqref="I34"/>
    </sheetView>
  </sheetViews>
  <sheetFormatPr defaultRowHeight="12.75" customHeight="1" outlineLevelRow="1" x14ac:dyDescent="0.3"/>
  <cols>
    <col min="1" max="1" width="33.5703125" style="210" customWidth="1"/>
    <col min="2" max="2" width="0" style="210" hidden="1" customWidth="1"/>
    <col min="3" max="3" width="15.42578125" style="210" bestFit="1" customWidth="1"/>
    <col min="4" max="4" width="13.85546875" style="210" customWidth="1"/>
    <col min="5" max="5" width="14.85546875" style="210" customWidth="1"/>
    <col min="6" max="6" width="14.5703125" style="210" bestFit="1" customWidth="1"/>
    <col min="7" max="16384" width="9.140625" style="210"/>
  </cols>
  <sheetData>
    <row r="1" spans="1:6" s="209" customFormat="1" ht="12.75" customHeight="1" x14ac:dyDescent="0.3">
      <c r="A1" s="209" t="s">
        <v>604</v>
      </c>
    </row>
    <row r="3" spans="1:6" ht="12.75" customHeight="1" outlineLevel="1" x14ac:dyDescent="0.3">
      <c r="A3" s="209" t="s">
        <v>605</v>
      </c>
    </row>
    <row r="4" spans="1:6" ht="12.75" customHeight="1" outlineLevel="1" x14ac:dyDescent="0.3">
      <c r="A4" s="393" t="s">
        <v>424</v>
      </c>
      <c r="B4" s="395"/>
      <c r="C4" s="395" t="s">
        <v>606</v>
      </c>
      <c r="D4" s="395" t="s">
        <v>607</v>
      </c>
      <c r="E4" s="395"/>
      <c r="F4" s="424"/>
    </row>
    <row r="5" spans="1:6" ht="12.75" customHeight="1" outlineLevel="1" x14ac:dyDescent="0.3">
      <c r="A5" s="394"/>
      <c r="B5" s="396"/>
      <c r="C5" s="396"/>
      <c r="D5" s="396" t="s">
        <v>608</v>
      </c>
      <c r="E5" s="396" t="s">
        <v>609</v>
      </c>
      <c r="F5" s="425" t="s">
        <v>445</v>
      </c>
    </row>
    <row r="6" spans="1:6" ht="12.75" customHeight="1" outlineLevel="1" x14ac:dyDescent="0.3">
      <c r="A6" s="394"/>
      <c r="B6" s="396"/>
      <c r="C6" s="396"/>
      <c r="D6" s="396"/>
      <c r="E6" s="396"/>
      <c r="F6" s="425"/>
    </row>
    <row r="7" spans="1:6" ht="12.75" customHeight="1" outlineLevel="1" x14ac:dyDescent="0.3">
      <c r="A7" s="259" t="s">
        <v>610</v>
      </c>
      <c r="B7" s="212"/>
      <c r="C7" s="213"/>
      <c r="D7" s="213"/>
      <c r="E7" s="213"/>
      <c r="F7" s="213"/>
    </row>
    <row r="8" spans="1:6" ht="12.75" customHeight="1" outlineLevel="1" x14ac:dyDescent="0.3">
      <c r="A8" s="214"/>
      <c r="B8" s="214"/>
      <c r="C8" s="215"/>
      <c r="D8" s="215"/>
      <c r="E8" s="215"/>
      <c r="F8" s="215"/>
    </row>
    <row r="9" spans="1:6" ht="12.75" customHeight="1" outlineLevel="1" x14ac:dyDescent="0.3">
      <c r="A9" s="240" t="s">
        <v>611</v>
      </c>
      <c r="B9" s="214">
        <v>311</v>
      </c>
      <c r="C9" s="215">
        <v>0</v>
      </c>
      <c r="D9" s="215">
        <v>0</v>
      </c>
      <c r="E9" s="215">
        <v>0</v>
      </c>
      <c r="F9" s="215">
        <f>+D9-E9</f>
        <v>0</v>
      </c>
    </row>
    <row r="10" spans="1:6" ht="12.75" customHeight="1" outlineLevel="1" x14ac:dyDescent="0.3">
      <c r="A10" s="240" t="s">
        <v>612</v>
      </c>
      <c r="B10" s="214">
        <v>312</v>
      </c>
      <c r="C10" s="215">
        <v>0</v>
      </c>
      <c r="D10" s="215">
        <v>0</v>
      </c>
      <c r="E10" s="215">
        <v>0</v>
      </c>
      <c r="F10" s="215">
        <f t="shared" ref="F10:F18" si="0">+D10-E10</f>
        <v>0</v>
      </c>
    </row>
    <row r="11" spans="1:6" ht="12.75" customHeight="1" outlineLevel="1" x14ac:dyDescent="0.3">
      <c r="A11" s="240" t="s">
        <v>613</v>
      </c>
      <c r="B11" s="214">
        <v>318</v>
      </c>
      <c r="C11" s="215">
        <v>0</v>
      </c>
      <c r="D11" s="215">
        <v>0</v>
      </c>
      <c r="E11" s="215">
        <v>0</v>
      </c>
      <c r="F11" s="215">
        <f t="shared" si="0"/>
        <v>0</v>
      </c>
    </row>
    <row r="12" spans="1:6" ht="12.75" customHeight="1" outlineLevel="1" x14ac:dyDescent="0.3">
      <c r="A12" s="240" t="s">
        <v>614</v>
      </c>
      <c r="B12" s="214">
        <v>329</v>
      </c>
      <c r="C12" s="215">
        <v>0</v>
      </c>
      <c r="D12" s="215">
        <v>0</v>
      </c>
      <c r="E12" s="215">
        <v>0</v>
      </c>
      <c r="F12" s="215">
        <f t="shared" si="0"/>
        <v>0</v>
      </c>
    </row>
    <row r="13" spans="1:6" ht="12.75" customHeight="1" outlineLevel="1" x14ac:dyDescent="0.3">
      <c r="A13" s="240" t="s">
        <v>615</v>
      </c>
      <c r="B13" s="214">
        <v>34</v>
      </c>
      <c r="C13" s="215">
        <v>0</v>
      </c>
      <c r="D13" s="215">
        <v>0</v>
      </c>
      <c r="E13" s="215">
        <v>0</v>
      </c>
      <c r="F13" s="215">
        <f t="shared" si="0"/>
        <v>0</v>
      </c>
    </row>
    <row r="14" spans="1:6" ht="12.75" customHeight="1" outlineLevel="1" x14ac:dyDescent="0.3">
      <c r="A14" s="240" t="s">
        <v>616</v>
      </c>
      <c r="B14" s="214">
        <v>35</v>
      </c>
      <c r="C14" s="215">
        <v>0</v>
      </c>
      <c r="D14" s="215">
        <v>0</v>
      </c>
      <c r="E14" s="215">
        <v>0</v>
      </c>
      <c r="F14" s="215">
        <f t="shared" si="0"/>
        <v>0</v>
      </c>
    </row>
    <row r="15" spans="1:6" ht="12.75" customHeight="1" outlineLevel="1" x14ac:dyDescent="0.3">
      <c r="A15" s="240" t="s">
        <v>617</v>
      </c>
      <c r="B15" s="214">
        <v>36</v>
      </c>
      <c r="C15" s="215">
        <v>0</v>
      </c>
      <c r="D15" s="215">
        <v>0</v>
      </c>
      <c r="E15" s="215">
        <v>0</v>
      </c>
      <c r="F15" s="215">
        <f t="shared" si="0"/>
        <v>0</v>
      </c>
    </row>
    <row r="16" spans="1:6" ht="12.75" customHeight="1" outlineLevel="1" x14ac:dyDescent="0.3">
      <c r="A16" s="240" t="s">
        <v>618</v>
      </c>
      <c r="B16" s="214">
        <v>372</v>
      </c>
      <c r="C16" s="215">
        <v>0</v>
      </c>
      <c r="D16" s="215">
        <v>0</v>
      </c>
      <c r="E16" s="215">
        <v>0</v>
      </c>
      <c r="F16" s="215">
        <f t="shared" si="0"/>
        <v>0</v>
      </c>
    </row>
    <row r="17" spans="1:6" ht="12.75" customHeight="1" outlineLevel="1" x14ac:dyDescent="0.3">
      <c r="A17" s="240" t="s">
        <v>619</v>
      </c>
      <c r="B17" s="214">
        <v>3791</v>
      </c>
      <c r="C17" s="215">
        <v>0</v>
      </c>
      <c r="D17" s="215">
        <v>0</v>
      </c>
      <c r="E17" s="215">
        <v>0</v>
      </c>
      <c r="F17" s="215">
        <f t="shared" si="0"/>
        <v>0</v>
      </c>
    </row>
    <row r="18" spans="1:6" ht="12.75" customHeight="1" outlineLevel="1" x14ac:dyDescent="0.3">
      <c r="A18" s="240" t="s">
        <v>620</v>
      </c>
      <c r="B18" s="214">
        <v>38</v>
      </c>
      <c r="C18" s="215">
        <v>100000</v>
      </c>
      <c r="D18" s="215">
        <v>0</v>
      </c>
      <c r="E18" s="215">
        <v>0</v>
      </c>
      <c r="F18" s="215">
        <f t="shared" si="0"/>
        <v>0</v>
      </c>
    </row>
    <row r="19" spans="1:6" ht="12.75" customHeight="1" outlineLevel="1" x14ac:dyDescent="0.3">
      <c r="A19" s="240"/>
      <c r="B19" s="214"/>
      <c r="C19" s="215"/>
      <c r="D19" s="215"/>
      <c r="E19" s="215"/>
      <c r="F19" s="215"/>
    </row>
    <row r="20" spans="1:6" ht="12.75" customHeight="1" outlineLevel="1" x14ac:dyDescent="0.3">
      <c r="A20" s="216" t="s">
        <v>445</v>
      </c>
      <c r="B20" s="216"/>
      <c r="C20" s="217">
        <f>+C18</f>
        <v>100000</v>
      </c>
      <c r="D20" s="217">
        <f>SUM(D9:D18)</f>
        <v>0</v>
      </c>
      <c r="E20" s="217">
        <f>SUM(E9:E18)</f>
        <v>0</v>
      </c>
      <c r="F20" s="217">
        <f>SUM(F9:F18)</f>
        <v>0</v>
      </c>
    </row>
    <row r="23" spans="1:6" ht="12.75" customHeight="1" outlineLevel="1" x14ac:dyDescent="0.3">
      <c r="A23" s="209" t="s">
        <v>621</v>
      </c>
    </row>
    <row r="24" spans="1:6" ht="12.75" customHeight="1" outlineLevel="1" x14ac:dyDescent="0.3">
      <c r="A24" s="431" t="s">
        <v>424</v>
      </c>
      <c r="B24" s="433"/>
      <c r="C24" s="433" t="s">
        <v>452</v>
      </c>
      <c r="D24" s="433" t="s">
        <v>454</v>
      </c>
      <c r="E24" s="433" t="s">
        <v>500</v>
      </c>
      <c r="F24" s="429" t="s">
        <v>457</v>
      </c>
    </row>
    <row r="25" spans="1:6" ht="12.75" customHeight="1" outlineLevel="1" x14ac:dyDescent="0.3">
      <c r="A25" s="432"/>
      <c r="B25" s="396"/>
      <c r="C25" s="396"/>
      <c r="D25" s="396"/>
      <c r="E25" s="396"/>
      <c r="F25" s="430"/>
    </row>
    <row r="26" spans="1:6" ht="12.75" customHeight="1" outlineLevel="1" x14ac:dyDescent="0.3">
      <c r="A26" s="260" t="s">
        <v>611</v>
      </c>
      <c r="B26" s="212">
        <v>311</v>
      </c>
      <c r="C26" s="213">
        <v>0</v>
      </c>
      <c r="D26" s="213">
        <v>0</v>
      </c>
      <c r="E26" s="213">
        <v>0</v>
      </c>
      <c r="F26" s="213">
        <f>+C26+D26-E26</f>
        <v>0</v>
      </c>
    </row>
    <row r="27" spans="1:6" ht="12.75" customHeight="1" outlineLevel="1" x14ac:dyDescent="0.3">
      <c r="A27" s="240" t="s">
        <v>622</v>
      </c>
      <c r="B27" s="214">
        <v>312</v>
      </c>
      <c r="C27" s="215">
        <v>0</v>
      </c>
      <c r="D27" s="215">
        <v>0</v>
      </c>
      <c r="E27" s="215">
        <v>0</v>
      </c>
      <c r="F27" s="215">
        <f t="shared" ref="F27:F34" si="1">+C27+D27-E27</f>
        <v>0</v>
      </c>
    </row>
    <row r="28" spans="1:6" ht="12.75" customHeight="1" outlineLevel="1" x14ac:dyDescent="0.3">
      <c r="A28" s="240" t="s">
        <v>613</v>
      </c>
      <c r="B28" s="214">
        <v>318</v>
      </c>
      <c r="C28" s="215">
        <v>0</v>
      </c>
      <c r="D28" s="215">
        <v>0</v>
      </c>
      <c r="E28" s="215">
        <v>0</v>
      </c>
      <c r="F28" s="215">
        <f t="shared" si="1"/>
        <v>0</v>
      </c>
    </row>
    <row r="29" spans="1:6" ht="12.75" customHeight="1" outlineLevel="1" x14ac:dyDescent="0.3">
      <c r="A29" s="240" t="s">
        <v>623</v>
      </c>
      <c r="B29" s="214">
        <v>329</v>
      </c>
      <c r="C29" s="215">
        <v>0</v>
      </c>
      <c r="D29" s="215">
        <v>0</v>
      </c>
      <c r="E29" s="215">
        <v>0</v>
      </c>
      <c r="F29" s="215">
        <f t="shared" si="1"/>
        <v>0</v>
      </c>
    </row>
    <row r="30" spans="1:6" ht="12.75" customHeight="1" outlineLevel="1" x14ac:dyDescent="0.3">
      <c r="A30" s="240" t="s">
        <v>615</v>
      </c>
      <c r="B30" s="214">
        <v>34</v>
      </c>
      <c r="C30" s="215">
        <v>0</v>
      </c>
      <c r="D30" s="215">
        <v>0</v>
      </c>
      <c r="E30" s="215">
        <v>0</v>
      </c>
      <c r="F30" s="215">
        <f t="shared" si="1"/>
        <v>0</v>
      </c>
    </row>
    <row r="31" spans="1:6" ht="12.75" customHeight="1" outlineLevel="1" x14ac:dyDescent="0.3">
      <c r="A31" s="240" t="s">
        <v>616</v>
      </c>
      <c r="B31" s="214">
        <v>35</v>
      </c>
      <c r="C31" s="215">
        <v>0</v>
      </c>
      <c r="D31" s="215">
        <v>0</v>
      </c>
      <c r="E31" s="215">
        <v>0</v>
      </c>
      <c r="F31" s="215">
        <f t="shared" si="1"/>
        <v>0</v>
      </c>
    </row>
    <row r="32" spans="1:6" ht="12.75" customHeight="1" outlineLevel="1" x14ac:dyDescent="0.3">
      <c r="A32" s="240" t="s">
        <v>617</v>
      </c>
      <c r="B32" s="214">
        <v>36</v>
      </c>
      <c r="C32" s="215">
        <v>0</v>
      </c>
      <c r="D32" s="215">
        <v>0</v>
      </c>
      <c r="E32" s="215">
        <v>0</v>
      </c>
      <c r="F32" s="215">
        <f t="shared" si="1"/>
        <v>0</v>
      </c>
    </row>
    <row r="33" spans="1:6" ht="12.75" customHeight="1" outlineLevel="1" x14ac:dyDescent="0.3">
      <c r="A33" s="240" t="s">
        <v>624</v>
      </c>
      <c r="B33" s="214">
        <v>372</v>
      </c>
      <c r="C33" s="215">
        <v>0</v>
      </c>
      <c r="D33" s="215">
        <v>0</v>
      </c>
      <c r="E33" s="215">
        <v>0</v>
      </c>
      <c r="F33" s="215">
        <f t="shared" si="1"/>
        <v>0</v>
      </c>
    </row>
    <row r="34" spans="1:6" ht="12.75" customHeight="1" outlineLevel="1" x14ac:dyDescent="0.3">
      <c r="A34" s="240" t="s">
        <v>619</v>
      </c>
      <c r="B34" s="214">
        <v>3791</v>
      </c>
      <c r="C34" s="215">
        <v>0</v>
      </c>
      <c r="D34" s="215">
        <v>0</v>
      </c>
      <c r="E34" s="215">
        <v>0</v>
      </c>
      <c r="F34" s="215">
        <f t="shared" si="1"/>
        <v>0</v>
      </c>
    </row>
    <row r="35" spans="1:6" ht="12.75" customHeight="1" outlineLevel="1" x14ac:dyDescent="0.3">
      <c r="A35" s="240"/>
      <c r="B35" s="214"/>
      <c r="C35" s="215"/>
      <c r="D35" s="215"/>
      <c r="E35" s="215"/>
      <c r="F35" s="215"/>
    </row>
    <row r="36" spans="1:6" ht="12.75" customHeight="1" outlineLevel="1" x14ac:dyDescent="0.3">
      <c r="A36" s="220" t="s">
        <v>445</v>
      </c>
      <c r="B36" s="220"/>
      <c r="C36" s="221">
        <f>SUM(C26:C34)</f>
        <v>0</v>
      </c>
      <c r="D36" s="221">
        <f>SUM(D26:D34)</f>
        <v>0</v>
      </c>
      <c r="E36" s="221">
        <f>SUM(E26:E34)</f>
        <v>0</v>
      </c>
      <c r="F36" s="221">
        <f>SUM(F26:F34)</f>
        <v>0</v>
      </c>
    </row>
  </sheetData>
  <mergeCells count="13">
    <mergeCell ref="F24:F25"/>
    <mergeCell ref="A4:A6"/>
    <mergeCell ref="B4:B6"/>
    <mergeCell ref="C4:C6"/>
    <mergeCell ref="D4:F4"/>
    <mergeCell ref="D5:D6"/>
    <mergeCell ref="E5:E6"/>
    <mergeCell ref="F5:F6"/>
    <mergeCell ref="A24:A25"/>
    <mergeCell ref="B24:B25"/>
    <mergeCell ref="C24:C25"/>
    <mergeCell ref="D24:D25"/>
    <mergeCell ref="E24:E25"/>
  </mergeCells>
  <pageMargins left="0.75" right="0.75" top="1" bottom="1" header="0" footer="0"/>
  <pageSetup scale="91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workbookViewId="0">
      <selection activeCell="F36" sqref="F36"/>
    </sheetView>
  </sheetViews>
  <sheetFormatPr defaultRowHeight="12.75" customHeight="1" outlineLevelRow="1" x14ac:dyDescent="0.3"/>
  <cols>
    <col min="1" max="1" width="32.28515625" style="210" customWidth="1"/>
    <col min="2" max="2" width="0" style="210" hidden="1" customWidth="1"/>
    <col min="3" max="4" width="15.85546875" style="210" customWidth="1"/>
    <col min="5" max="5" width="11.42578125" style="210" customWidth="1"/>
    <col min="6" max="6" width="10.5703125" style="210" customWidth="1"/>
    <col min="7" max="16384" width="9.140625" style="210"/>
  </cols>
  <sheetData>
    <row r="1" spans="1:6" ht="12.75" customHeight="1" x14ac:dyDescent="0.3">
      <c r="A1" s="209" t="s">
        <v>625</v>
      </c>
    </row>
    <row r="3" spans="1:6" ht="12.75" customHeight="1" outlineLevel="1" x14ac:dyDescent="0.3">
      <c r="A3" s="209" t="s">
        <v>626</v>
      </c>
    </row>
    <row r="4" spans="1:6" ht="12.75" customHeight="1" outlineLevel="1" x14ac:dyDescent="0.3">
      <c r="A4" s="409" t="s">
        <v>424</v>
      </c>
      <c r="B4" s="411"/>
      <c r="C4" s="411">
        <v>2015</v>
      </c>
      <c r="D4" s="413">
        <v>2014</v>
      </c>
    </row>
    <row r="5" spans="1:6" s="234" customFormat="1" ht="12.75" customHeight="1" outlineLevel="1" x14ac:dyDescent="0.3">
      <c r="A5" s="434"/>
      <c r="B5" s="427"/>
      <c r="C5" s="427"/>
      <c r="D5" s="435"/>
    </row>
    <row r="6" spans="1:6" ht="12.75" customHeight="1" outlineLevel="1" x14ac:dyDescent="0.3">
      <c r="A6" s="240" t="s">
        <v>627</v>
      </c>
      <c r="B6" s="214">
        <v>41</v>
      </c>
      <c r="C6" s="215">
        <v>0</v>
      </c>
      <c r="D6" s="215">
        <v>0</v>
      </c>
    </row>
    <row r="7" spans="1:6" ht="12.75" customHeight="1" outlineLevel="1" x14ac:dyDescent="0.3">
      <c r="A7" s="240" t="s">
        <v>628</v>
      </c>
      <c r="B7" s="214"/>
      <c r="C7" s="215">
        <v>0</v>
      </c>
      <c r="D7" s="215">
        <v>0</v>
      </c>
    </row>
    <row r="8" spans="1:6" ht="12.75" customHeight="1" outlineLevel="1" x14ac:dyDescent="0.3">
      <c r="A8" s="240" t="s">
        <v>629</v>
      </c>
      <c r="B8" s="214" t="s">
        <v>630</v>
      </c>
      <c r="C8" s="215">
        <v>0</v>
      </c>
      <c r="D8" s="215">
        <v>0</v>
      </c>
    </row>
    <row r="9" spans="1:6" ht="12.75" customHeight="1" outlineLevel="1" x14ac:dyDescent="0.3">
      <c r="A9" s="240" t="s">
        <v>631</v>
      </c>
      <c r="B9" s="214">
        <v>45</v>
      </c>
      <c r="C9" s="215">
        <v>300000</v>
      </c>
      <c r="D9" s="215">
        <v>0</v>
      </c>
    </row>
    <row r="10" spans="1:6" ht="12.75" customHeight="1" outlineLevel="1" x14ac:dyDescent="0.3">
      <c r="A10" s="240" t="s">
        <v>544</v>
      </c>
      <c r="B10" s="214">
        <v>49</v>
      </c>
      <c r="C10" s="215">
        <v>0</v>
      </c>
      <c r="D10" s="215">
        <v>0</v>
      </c>
    </row>
    <row r="11" spans="1:6" ht="12.75" customHeight="1" outlineLevel="1" x14ac:dyDescent="0.3">
      <c r="A11" s="240"/>
      <c r="B11" s="214"/>
      <c r="C11" s="215"/>
      <c r="D11" s="215"/>
    </row>
    <row r="12" spans="1:6" ht="12.75" customHeight="1" outlineLevel="1" x14ac:dyDescent="0.3">
      <c r="A12" s="216" t="s">
        <v>445</v>
      </c>
      <c r="B12" s="216"/>
      <c r="C12" s="217">
        <f>SUM(C6:C9)-C10</f>
        <v>300000</v>
      </c>
      <c r="D12" s="217">
        <f>SUM(D6:D9)-D10</f>
        <v>0</v>
      </c>
    </row>
    <row r="15" spans="1:6" ht="12.75" customHeight="1" outlineLevel="1" x14ac:dyDescent="0.3">
      <c r="A15" s="209" t="s">
        <v>632</v>
      </c>
    </row>
    <row r="16" spans="1:6" ht="12.75" customHeight="1" outlineLevel="1" x14ac:dyDescent="0.3">
      <c r="A16" s="436" t="s">
        <v>424</v>
      </c>
      <c r="B16" s="438"/>
      <c r="C16" s="438" t="s">
        <v>452</v>
      </c>
      <c r="D16" s="438" t="s">
        <v>454</v>
      </c>
      <c r="E16" s="438" t="s">
        <v>500</v>
      </c>
      <c r="F16" s="439" t="s">
        <v>457</v>
      </c>
    </row>
    <row r="17" spans="1:6" ht="12.75" customHeight="1" outlineLevel="1" x14ac:dyDescent="0.3">
      <c r="A17" s="437"/>
      <c r="B17" s="427"/>
      <c r="C17" s="427"/>
      <c r="D17" s="427"/>
      <c r="E17" s="427"/>
      <c r="F17" s="440"/>
    </row>
    <row r="18" spans="1:6" ht="12.75" customHeight="1" outlineLevel="1" x14ac:dyDescent="0.3">
      <c r="A18" s="240" t="s">
        <v>633</v>
      </c>
      <c r="B18" s="214">
        <v>491</v>
      </c>
      <c r="C18" s="215">
        <v>0</v>
      </c>
      <c r="D18" s="215">
        <v>0</v>
      </c>
      <c r="E18" s="215">
        <v>0</v>
      </c>
      <c r="F18" s="215">
        <f>+C18+D18-E18</f>
        <v>0</v>
      </c>
    </row>
    <row r="19" spans="1:6" ht="12.75" customHeight="1" outlineLevel="1" x14ac:dyDescent="0.3">
      <c r="A19" s="240" t="s">
        <v>634</v>
      </c>
      <c r="B19" s="214">
        <v>492</v>
      </c>
      <c r="C19" s="215">
        <v>0</v>
      </c>
      <c r="D19" s="215">
        <v>0</v>
      </c>
      <c r="E19" s="215">
        <v>0</v>
      </c>
      <c r="F19" s="215">
        <f>+C19+D19-E19</f>
        <v>0</v>
      </c>
    </row>
    <row r="20" spans="1:6" ht="12.75" customHeight="1" outlineLevel="1" x14ac:dyDescent="0.3">
      <c r="A20" s="240"/>
      <c r="B20" s="214"/>
      <c r="C20" s="215"/>
      <c r="D20" s="215"/>
      <c r="E20" s="215"/>
      <c r="F20" s="215"/>
    </row>
    <row r="21" spans="1:6" ht="12.75" customHeight="1" outlineLevel="1" x14ac:dyDescent="0.3">
      <c r="A21" s="216" t="s">
        <v>445</v>
      </c>
      <c r="B21" s="216"/>
      <c r="C21" s="217">
        <f>SUM(C18:C19)</f>
        <v>0</v>
      </c>
      <c r="D21" s="217">
        <f>SUM(D18:D19)</f>
        <v>0</v>
      </c>
      <c r="E21" s="217">
        <f>SUM(E18:E19)</f>
        <v>0</v>
      </c>
      <c r="F21" s="217">
        <f>SUM(F18:F19)</f>
        <v>0</v>
      </c>
    </row>
    <row r="23" spans="1:6" ht="12.75" hidden="1" customHeight="1" outlineLevel="1" x14ac:dyDescent="0.3">
      <c r="A23" s="209" t="s">
        <v>635</v>
      </c>
    </row>
    <row r="24" spans="1:6" ht="12.75" hidden="1" customHeight="1" outlineLevel="1" x14ac:dyDescent="0.3">
      <c r="A24" s="423" t="s">
        <v>424</v>
      </c>
      <c r="B24" s="423"/>
      <c r="C24" s="423" t="s">
        <v>584</v>
      </c>
      <c r="D24" s="423" t="s">
        <v>636</v>
      </c>
    </row>
    <row r="25" spans="1:6" ht="12.75" hidden="1" customHeight="1" outlineLevel="1" x14ac:dyDescent="0.3">
      <c r="A25" s="427"/>
      <c r="B25" s="427"/>
      <c r="C25" s="427"/>
      <c r="D25" s="427"/>
    </row>
    <row r="26" spans="1:6" ht="12.75" hidden="1" customHeight="1" outlineLevel="1" x14ac:dyDescent="0.3">
      <c r="A26" s="427"/>
      <c r="B26" s="427"/>
      <c r="C26" s="427"/>
      <c r="D26" s="427"/>
    </row>
    <row r="27" spans="1:6" ht="12.75" hidden="1" customHeight="1" outlineLevel="1" x14ac:dyDescent="0.3">
      <c r="A27" s="412"/>
      <c r="B27" s="412"/>
      <c r="C27" s="412"/>
      <c r="D27" s="412"/>
    </row>
    <row r="28" spans="1:6" ht="12.75" hidden="1" customHeight="1" outlineLevel="1" x14ac:dyDescent="0.3">
      <c r="A28" s="240" t="s">
        <v>627</v>
      </c>
      <c r="B28" s="214">
        <v>41</v>
      </c>
      <c r="C28" s="215"/>
      <c r="D28" s="215"/>
    </row>
    <row r="29" spans="1:6" ht="12.75" hidden="1" customHeight="1" outlineLevel="1" x14ac:dyDescent="0.3">
      <c r="A29" s="240" t="s">
        <v>629</v>
      </c>
      <c r="B29" s="214" t="s">
        <v>630</v>
      </c>
      <c r="C29" s="215"/>
      <c r="D29" s="215"/>
    </row>
    <row r="30" spans="1:6" ht="12.75" hidden="1" customHeight="1" outlineLevel="1" x14ac:dyDescent="0.3">
      <c r="A30" s="240" t="s">
        <v>631</v>
      </c>
      <c r="B30" s="214">
        <v>45</v>
      </c>
      <c r="C30" s="215"/>
      <c r="D30" s="215"/>
    </row>
    <row r="31" spans="1:6" ht="12.75" hidden="1" customHeight="1" outlineLevel="1" x14ac:dyDescent="0.3">
      <c r="A31" s="220" t="s">
        <v>445</v>
      </c>
      <c r="B31" s="220"/>
      <c r="C31" s="221">
        <f>SUM(C29:C30)</f>
        <v>0</v>
      </c>
      <c r="D31" s="221">
        <f>SUM(D29:D30)</f>
        <v>0</v>
      </c>
    </row>
    <row r="32" spans="1:6" ht="12.75" customHeight="1" collapsed="1" x14ac:dyDescent="0.3"/>
  </sheetData>
  <mergeCells count="14">
    <mergeCell ref="E16:E17"/>
    <mergeCell ref="F16:F17"/>
    <mergeCell ref="A24:A27"/>
    <mergeCell ref="B24:B27"/>
    <mergeCell ref="C24:C27"/>
    <mergeCell ref="D24:D27"/>
    <mergeCell ref="A4:A5"/>
    <mergeCell ref="B4:B5"/>
    <mergeCell ref="C4:C5"/>
    <mergeCell ref="D4:D5"/>
    <mergeCell ref="A16:A17"/>
    <mergeCell ref="B16:B17"/>
    <mergeCell ref="C16:C17"/>
    <mergeCell ref="D16:D17"/>
  </mergeCells>
  <pageMargins left="0.75" right="0.75" top="1" bottom="1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selection activeCell="G9" sqref="G9"/>
    </sheetView>
  </sheetViews>
  <sheetFormatPr defaultRowHeight="12.75" customHeight="1" outlineLevelRow="1" x14ac:dyDescent="0.3"/>
  <cols>
    <col min="1" max="1" width="35.5703125" style="210" customWidth="1"/>
    <col min="2" max="2" width="0" style="210" hidden="1" customWidth="1"/>
    <col min="3" max="3" width="17" style="210" customWidth="1"/>
    <col min="4" max="4" width="14.28515625" style="210" bestFit="1" customWidth="1"/>
    <col min="5" max="16384" width="9.140625" style="210"/>
  </cols>
  <sheetData>
    <row r="1" spans="1:8" ht="12.75" customHeight="1" x14ac:dyDescent="0.3">
      <c r="A1" s="209" t="s">
        <v>637</v>
      </c>
    </row>
    <row r="3" spans="1:8" ht="12.75" customHeight="1" outlineLevel="1" x14ac:dyDescent="0.3">
      <c r="A3" s="209" t="s">
        <v>638</v>
      </c>
    </row>
    <row r="4" spans="1:8" ht="12.75" customHeight="1" outlineLevel="1" x14ac:dyDescent="0.3">
      <c r="A4" s="441" t="s">
        <v>424</v>
      </c>
      <c r="B4" s="443"/>
      <c r="C4" s="443">
        <v>2012</v>
      </c>
      <c r="D4" s="445">
        <v>2011</v>
      </c>
    </row>
    <row r="5" spans="1:8" ht="12.75" customHeight="1" outlineLevel="1" x14ac:dyDescent="0.3">
      <c r="A5" s="442"/>
      <c r="B5" s="444"/>
      <c r="C5" s="444"/>
      <c r="D5" s="446"/>
    </row>
    <row r="6" spans="1:8" ht="12.75" customHeight="1" outlineLevel="1" x14ac:dyDescent="0.3">
      <c r="A6" s="240"/>
      <c r="B6" s="214"/>
      <c r="C6" s="215"/>
      <c r="D6" s="215"/>
    </row>
    <row r="7" spans="1:8" ht="12.75" customHeight="1" outlineLevel="1" x14ac:dyDescent="0.35">
      <c r="A7" s="240" t="s">
        <v>639</v>
      </c>
      <c r="B7" s="214"/>
      <c r="C7" s="215">
        <v>0</v>
      </c>
      <c r="D7" s="215">
        <v>0</v>
      </c>
      <c r="F7" s="238"/>
      <c r="G7" s="239"/>
      <c r="H7" s="239"/>
    </row>
    <row r="8" spans="1:8" ht="12.75" customHeight="1" outlineLevel="1" x14ac:dyDescent="0.35">
      <c r="A8" s="240" t="s">
        <v>640</v>
      </c>
      <c r="B8" s="214"/>
      <c r="C8" s="215">
        <v>0</v>
      </c>
      <c r="D8" s="215">
        <v>0</v>
      </c>
      <c r="F8" s="238"/>
      <c r="G8" s="239"/>
      <c r="H8" s="239"/>
    </row>
    <row r="9" spans="1:8" ht="12.75" customHeight="1" outlineLevel="1" x14ac:dyDescent="0.3">
      <c r="A9" s="240"/>
      <c r="B9" s="214"/>
      <c r="C9" s="215"/>
      <c r="D9" s="215"/>
    </row>
    <row r="10" spans="1:8" ht="12.75" customHeight="1" outlineLevel="1" x14ac:dyDescent="0.3">
      <c r="A10" s="216" t="s">
        <v>445</v>
      </c>
      <c r="B10" s="216"/>
      <c r="C10" s="217">
        <f>SUM(C7:C8)</f>
        <v>0</v>
      </c>
      <c r="D10" s="217">
        <f>SUM(D7:D8)</f>
        <v>0</v>
      </c>
    </row>
  </sheetData>
  <mergeCells count="4">
    <mergeCell ref="A4:A5"/>
    <mergeCell ref="B4:B5"/>
    <mergeCell ref="C4:C5"/>
    <mergeCell ref="D4:D5"/>
  </mergeCells>
  <pageMargins left="0.75" right="0.75" top="1" bottom="1" header="0" footer="0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showGridLines="0" workbookViewId="0">
      <selection activeCell="G1" sqref="G1"/>
    </sheetView>
  </sheetViews>
  <sheetFormatPr defaultRowHeight="12.75" customHeight="1" outlineLevelRow="1" x14ac:dyDescent="0.15"/>
  <cols>
    <col min="1" max="1" width="27.140625" style="244" customWidth="1"/>
    <col min="2" max="2" width="0" style="244" hidden="1" customWidth="1"/>
    <col min="3" max="3" width="12.5703125" style="244" bestFit="1" customWidth="1"/>
    <col min="4" max="4" width="15" style="244" customWidth="1"/>
    <col min="5" max="5" width="11.28515625" style="244" customWidth="1"/>
    <col min="6" max="6" width="12.28515625" style="244" bestFit="1" customWidth="1"/>
    <col min="7" max="16384" width="9.140625" style="244"/>
  </cols>
  <sheetData>
    <row r="1" spans="1:6" ht="12.75" customHeight="1" x14ac:dyDescent="0.15">
      <c r="A1" s="243" t="s">
        <v>641</v>
      </c>
    </row>
    <row r="3" spans="1:6" ht="12.75" customHeight="1" outlineLevel="1" x14ac:dyDescent="0.15">
      <c r="A3" s="243" t="s">
        <v>642</v>
      </c>
    </row>
    <row r="4" spans="1:6" ht="12.75" customHeight="1" outlineLevel="1" x14ac:dyDescent="0.15">
      <c r="A4" s="409" t="s">
        <v>424</v>
      </c>
      <c r="B4" s="411"/>
      <c r="C4" s="411" t="s">
        <v>452</v>
      </c>
      <c r="D4" s="411" t="s">
        <v>454</v>
      </c>
      <c r="E4" s="411" t="s">
        <v>500</v>
      </c>
      <c r="F4" s="413" t="s">
        <v>457</v>
      </c>
    </row>
    <row r="5" spans="1:6" ht="12.75" customHeight="1" outlineLevel="1" x14ac:dyDescent="0.15">
      <c r="A5" s="410"/>
      <c r="B5" s="412"/>
      <c r="C5" s="412"/>
      <c r="D5" s="412"/>
      <c r="E5" s="412"/>
      <c r="F5" s="414"/>
    </row>
    <row r="6" spans="1:6" ht="12.75" customHeight="1" outlineLevel="1" x14ac:dyDescent="0.3">
      <c r="A6" s="260" t="s">
        <v>28</v>
      </c>
      <c r="B6" s="352">
        <v>51</v>
      </c>
      <c r="C6" s="299">
        <v>100000</v>
      </c>
      <c r="D6" s="299">
        <v>0</v>
      </c>
      <c r="E6" s="299">
        <v>0</v>
      </c>
      <c r="F6" s="299">
        <f>+C6+D6-E6</f>
        <v>100000</v>
      </c>
    </row>
    <row r="7" spans="1:6" ht="12.75" customHeight="1" outlineLevel="1" x14ac:dyDescent="0.3">
      <c r="A7" s="240" t="s">
        <v>643</v>
      </c>
      <c r="B7" s="283">
        <v>52</v>
      </c>
      <c r="C7" s="284">
        <v>0</v>
      </c>
      <c r="D7" s="284">
        <v>0</v>
      </c>
      <c r="E7" s="284">
        <v>0</v>
      </c>
      <c r="F7" s="284">
        <f>+C7+D7-E7</f>
        <v>0</v>
      </c>
    </row>
    <row r="8" spans="1:6" ht="12.75" customHeight="1" outlineLevel="1" x14ac:dyDescent="0.3">
      <c r="A8" s="240" t="s">
        <v>644</v>
      </c>
      <c r="B8" s="214">
        <v>53</v>
      </c>
      <c r="C8" s="284">
        <v>0</v>
      </c>
      <c r="D8" s="284">
        <v>0</v>
      </c>
      <c r="E8" s="284">
        <v>0</v>
      </c>
      <c r="F8" s="284">
        <f>+C8+D8-E8</f>
        <v>0</v>
      </c>
    </row>
    <row r="9" spans="1:6" ht="12.75" customHeight="1" outlineLevel="1" x14ac:dyDescent="0.3">
      <c r="A9" s="240" t="s">
        <v>645</v>
      </c>
      <c r="B9" s="214">
        <v>54</v>
      </c>
      <c r="C9" s="284">
        <v>0</v>
      </c>
      <c r="D9" s="284">
        <v>0</v>
      </c>
      <c r="E9" s="284">
        <v>0</v>
      </c>
      <c r="F9" s="284">
        <f>+C9+D9-E9</f>
        <v>0</v>
      </c>
    </row>
    <row r="10" spans="1:6" ht="12.75" customHeight="1" outlineLevel="1" x14ac:dyDescent="0.3">
      <c r="A10" s="240"/>
      <c r="B10" s="214"/>
      <c r="C10" s="284"/>
      <c r="D10" s="284"/>
      <c r="E10" s="284"/>
      <c r="F10" s="284"/>
    </row>
    <row r="11" spans="1:6" ht="12.75" customHeight="1" outlineLevel="1" x14ac:dyDescent="0.3">
      <c r="A11" s="216" t="s">
        <v>445</v>
      </c>
      <c r="B11" s="216"/>
      <c r="C11" s="217">
        <f>SUM(C6:C9)</f>
        <v>100000</v>
      </c>
      <c r="D11" s="217">
        <f>SUM(D6:D9)</f>
        <v>0</v>
      </c>
      <c r="E11" s="217">
        <f>SUM(E6:E9)</f>
        <v>0</v>
      </c>
      <c r="F11" s="217">
        <f>SUM(F6:F9)</f>
        <v>100000</v>
      </c>
    </row>
    <row r="12" spans="1:6" ht="12.75" customHeight="1" x14ac:dyDescent="0.3">
      <c r="A12" s="210"/>
      <c r="B12" s="210"/>
      <c r="C12" s="210"/>
      <c r="D12" s="210"/>
      <c r="E12" s="210"/>
      <c r="F12" s="210"/>
    </row>
    <row r="14" spans="1:6" ht="12.75" hidden="1" customHeight="1" outlineLevel="1" x14ac:dyDescent="0.15">
      <c r="A14" s="243" t="s">
        <v>646</v>
      </c>
    </row>
    <row r="15" spans="1:6" ht="12.75" hidden="1" customHeight="1" outlineLevel="1" x14ac:dyDescent="0.15">
      <c r="A15" s="447" t="s">
        <v>424</v>
      </c>
      <c r="B15" s="447"/>
      <c r="C15" s="447" t="s">
        <v>452</v>
      </c>
      <c r="D15" s="447" t="s">
        <v>647</v>
      </c>
      <c r="E15" s="447" t="s">
        <v>500</v>
      </c>
      <c r="F15" s="447" t="s">
        <v>648</v>
      </c>
    </row>
    <row r="16" spans="1:6" ht="12.75" hidden="1" customHeight="1" outlineLevel="1" x14ac:dyDescent="0.15">
      <c r="A16" s="448"/>
      <c r="B16" s="448"/>
      <c r="C16" s="448"/>
      <c r="D16" s="448"/>
      <c r="E16" s="448"/>
      <c r="F16" s="448"/>
    </row>
    <row r="17" spans="1:6" ht="12.75" hidden="1" customHeight="1" outlineLevel="1" x14ac:dyDescent="0.15">
      <c r="A17" s="261" t="s">
        <v>649</v>
      </c>
      <c r="B17" s="262"/>
      <c r="C17" s="263"/>
      <c r="D17" s="268"/>
      <c r="E17" s="263"/>
      <c r="F17" s="263">
        <f>+C17+D17-E17</f>
        <v>0</v>
      </c>
    </row>
    <row r="18" spans="1:6" ht="12.75" hidden="1" customHeight="1" outlineLevel="1" x14ac:dyDescent="0.15">
      <c r="A18" s="269" t="s">
        <v>650</v>
      </c>
      <c r="B18" s="264"/>
      <c r="C18" s="265"/>
      <c r="D18" s="270"/>
      <c r="E18" s="265"/>
      <c r="F18" s="265"/>
    </row>
    <row r="19" spans="1:6" ht="12.75" hidden="1" customHeight="1" outlineLevel="1" x14ac:dyDescent="0.15">
      <c r="A19" s="247" t="s">
        <v>651</v>
      </c>
      <c r="B19" s="245"/>
      <c r="C19" s="246"/>
      <c r="D19" s="246"/>
      <c r="E19" s="246"/>
      <c r="F19" s="246"/>
    </row>
    <row r="20" spans="1:6" ht="12.75" hidden="1" customHeight="1" outlineLevel="1" x14ac:dyDescent="0.15">
      <c r="A20" s="248" t="s">
        <v>445</v>
      </c>
      <c r="B20" s="248"/>
      <c r="C20" s="249">
        <f>SUM(C17:C19)</f>
        <v>0</v>
      </c>
      <c r="D20" s="249">
        <f>SUM(D17:D19)</f>
        <v>0</v>
      </c>
      <c r="E20" s="249">
        <f>SUM(E17:E19)</f>
        <v>0</v>
      </c>
      <c r="F20" s="249">
        <f>SUM(F17:F19)</f>
        <v>0</v>
      </c>
    </row>
    <row r="21" spans="1:6" ht="12.75" hidden="1" customHeight="1" outlineLevel="1" x14ac:dyDescent="0.15"/>
    <row r="22" spans="1:6" ht="12.75" hidden="1" customHeight="1" outlineLevel="1" x14ac:dyDescent="0.15">
      <c r="A22" s="244" t="s">
        <v>652</v>
      </c>
    </row>
    <row r="23" spans="1:6" ht="12.75" hidden="1" customHeight="1" outlineLevel="1" x14ac:dyDescent="0.15">
      <c r="A23" s="271" t="s">
        <v>653</v>
      </c>
    </row>
    <row r="24" spans="1:6" ht="12.75" hidden="1" customHeight="1" outlineLevel="1" x14ac:dyDescent="0.15">
      <c r="A24" s="244" t="s">
        <v>654</v>
      </c>
    </row>
    <row r="25" spans="1:6" ht="12.75" hidden="1" customHeight="1" outlineLevel="1" x14ac:dyDescent="0.15"/>
    <row r="26" spans="1:6" ht="12.75" hidden="1" customHeight="1" outlineLevel="1" x14ac:dyDescent="0.15">
      <c r="A26" s="447" t="s">
        <v>424</v>
      </c>
      <c r="B26" s="447"/>
      <c r="C26" s="447" t="s">
        <v>452</v>
      </c>
      <c r="D26" s="447" t="s">
        <v>454</v>
      </c>
      <c r="E26" s="447" t="s">
        <v>500</v>
      </c>
      <c r="F26" s="447" t="s">
        <v>457</v>
      </c>
    </row>
    <row r="27" spans="1:6" ht="12.75" hidden="1" customHeight="1" outlineLevel="1" x14ac:dyDescent="0.15">
      <c r="A27" s="448"/>
      <c r="B27" s="448"/>
      <c r="C27" s="448"/>
      <c r="D27" s="448"/>
      <c r="E27" s="448"/>
      <c r="F27" s="448"/>
    </row>
    <row r="28" spans="1:6" ht="12.75" hidden="1" customHeight="1" outlineLevel="1" x14ac:dyDescent="0.15">
      <c r="A28" s="272" t="s">
        <v>655</v>
      </c>
      <c r="B28" s="273" t="s">
        <v>656</v>
      </c>
      <c r="C28" s="274" t="e">
        <f ca="1">[1]!SaldoDB([2]Parâmetros!$D$5,[2]Parâmetros!$F$5,"35111","00","00")+[1]!SaldoDB([2]Parâmetros!$D$5,[2]Parâmetros!$F$5,"35121","00","00")+[1]!SaldoDB([2]Parâmetros!$D$5,[2]Parâmetros!$F$5,"35131","00","00")+[1]!SaldoDB([2]Parâmetros!$D$5,[2]Parâmetros!$F$5,"35141","00","00")</f>
        <v>#NAME?</v>
      </c>
      <c r="D28" s="274" t="e">
        <f ca="1">[1]!MovimDB([2]Parâmetros!$D$5,[2]Parâmetros!$F$5,"35111","01","13")+[1]!MovimDB([2]Parâmetros!$D$5,[2]Parâmetros!$F$5,"35121","01","13")+[1]!MovimDB([2]Parâmetros!$D$5,[2]Parâmetros!$F$5,"35131","01","13")+[1]!MovimDB([2]Parâmetros!$D$5,[2]Parâmetros!$F$5,"35141","01","13")</f>
        <v>#NAME?</v>
      </c>
      <c r="E28" s="274" t="e">
        <f ca="1">[1]!MovimCR([2]Parâmetros!$D$5,[2]Parâmetros!$F$5,"35111","01","15")-[1]!MovimCR([2]Parâmetros!$D$5,[2]Parâmetros!$F$5,"35121","01","15")-[1]!MovimCR([2]Parâmetros!$D$5,[2]Parâmetros!$F$5,"35131","01","15")-[1]!MovimCR([2]Parâmetros!$D$5,[2]Parâmetros!$F$5,"35141","01","15")</f>
        <v>#NAME?</v>
      </c>
      <c r="F28" s="274" t="e">
        <f ca="1">+C28+D28-E28</f>
        <v>#NAME?</v>
      </c>
    </row>
    <row r="29" spans="1:6" ht="12.75" hidden="1" customHeight="1" outlineLevel="1" x14ac:dyDescent="0.15"/>
    <row r="30" spans="1:6" ht="12.75" hidden="1" customHeight="1" outlineLevel="1" x14ac:dyDescent="0.15">
      <c r="A30" s="244" t="s">
        <v>657</v>
      </c>
    </row>
    <row r="31" spans="1:6" ht="12.75" hidden="1" customHeight="1" outlineLevel="1" x14ac:dyDescent="0.15"/>
    <row r="32" spans="1:6" ht="12.75" hidden="1" customHeight="1" outlineLevel="1" x14ac:dyDescent="0.15"/>
    <row r="33" spans="1:1" ht="12.75" hidden="1" customHeight="1" outlineLevel="1" x14ac:dyDescent="0.15"/>
    <row r="34" spans="1:1" ht="12.75" hidden="1" customHeight="1" outlineLevel="1" x14ac:dyDescent="0.15">
      <c r="A34" s="244" t="s">
        <v>658</v>
      </c>
    </row>
    <row r="35" spans="1:1" ht="12.75" hidden="1" customHeight="1" outlineLevel="1" x14ac:dyDescent="0.15">
      <c r="A35" s="243"/>
    </row>
    <row r="36" spans="1:1" ht="12.75" hidden="1" customHeight="1" outlineLevel="1" x14ac:dyDescent="0.15">
      <c r="A36" s="244" t="s">
        <v>659</v>
      </c>
    </row>
    <row r="37" spans="1:1" ht="12.75" hidden="1" customHeight="1" outlineLevel="1" x14ac:dyDescent="0.15">
      <c r="A37" s="275" t="s">
        <v>660</v>
      </c>
    </row>
    <row r="38" spans="1:1" ht="12.75" hidden="1" customHeight="1" outlineLevel="1" x14ac:dyDescent="0.15">
      <c r="A38" s="276" t="s">
        <v>661</v>
      </c>
    </row>
    <row r="39" spans="1:1" ht="12.75" customHeight="1" collapsed="1" x14ac:dyDescent="0.15">
      <c r="A39" s="276"/>
    </row>
  </sheetData>
  <mergeCells count="18">
    <mergeCell ref="F26:F27"/>
    <mergeCell ref="A15:A16"/>
    <mergeCell ref="B15:B16"/>
    <mergeCell ref="C15:C16"/>
    <mergeCell ref="D15:D16"/>
    <mergeCell ref="E15:E16"/>
    <mergeCell ref="F15:F16"/>
    <mergeCell ref="A26:A27"/>
    <mergeCell ref="B26:B27"/>
    <mergeCell ref="C26:C27"/>
    <mergeCell ref="D26:D27"/>
    <mergeCell ref="E26:E27"/>
    <mergeCell ref="F4:F5"/>
    <mergeCell ref="A4:A5"/>
    <mergeCell ref="B4:B5"/>
    <mergeCell ref="C4:C5"/>
    <mergeCell ref="D4:D5"/>
    <mergeCell ref="E4:E5"/>
  </mergeCells>
  <pageMargins left="0.75" right="0.75" top="1" bottom="1" header="0" footer="0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showGridLines="0" workbookViewId="0">
      <selection activeCell="H1" sqref="H1"/>
    </sheetView>
  </sheetViews>
  <sheetFormatPr defaultRowHeight="12.75" customHeight="1" outlineLevelRow="1" x14ac:dyDescent="0.15"/>
  <cols>
    <col min="1" max="1" width="28.42578125" style="244" customWidth="1"/>
    <col min="2" max="2" width="0" style="244" hidden="1" customWidth="1"/>
    <col min="3" max="3" width="10.5703125" style="244" customWidth="1"/>
    <col min="4" max="4" width="14.5703125" style="244" bestFit="1" customWidth="1"/>
    <col min="5" max="5" width="11" style="244" customWidth="1"/>
    <col min="6" max="6" width="14.5703125" style="244" bestFit="1" customWidth="1"/>
    <col min="7" max="16384" width="9.140625" style="244"/>
  </cols>
  <sheetData>
    <row r="1" spans="1:10" ht="12.75" customHeight="1" x14ac:dyDescent="0.15">
      <c r="A1" s="243" t="s">
        <v>662</v>
      </c>
    </row>
    <row r="3" spans="1:10" ht="12.75" customHeight="1" outlineLevel="1" x14ac:dyDescent="0.15">
      <c r="A3" s="243" t="s">
        <v>663</v>
      </c>
    </row>
    <row r="4" spans="1:10" ht="25.5" customHeight="1" outlineLevel="1" x14ac:dyDescent="0.15">
      <c r="A4" s="277" t="s">
        <v>424</v>
      </c>
      <c r="B4" s="278"/>
      <c r="C4" s="278" t="s">
        <v>452</v>
      </c>
      <c r="D4" s="278" t="s">
        <v>454</v>
      </c>
      <c r="E4" s="278" t="s">
        <v>500</v>
      </c>
      <c r="F4" s="279" t="s">
        <v>457</v>
      </c>
    </row>
    <row r="5" spans="1:10" ht="12.75" customHeight="1" outlineLevel="1" x14ac:dyDescent="0.15">
      <c r="A5" s="247" t="s">
        <v>664</v>
      </c>
      <c r="B5" s="264">
        <v>55</v>
      </c>
      <c r="C5" s="265">
        <v>0</v>
      </c>
      <c r="D5" s="265">
        <v>0</v>
      </c>
      <c r="E5" s="265">
        <v>0</v>
      </c>
      <c r="F5" s="265">
        <f>+C5+D5-E5</f>
        <v>0</v>
      </c>
    </row>
    <row r="6" spans="1:10" ht="12.75" customHeight="1" outlineLevel="1" x14ac:dyDescent="0.15">
      <c r="A6" s="247" t="s">
        <v>665</v>
      </c>
      <c r="B6" s="264">
        <v>56</v>
      </c>
      <c r="C6" s="265">
        <v>0</v>
      </c>
      <c r="D6" s="265">
        <v>0</v>
      </c>
      <c r="E6" s="265">
        <v>0</v>
      </c>
      <c r="F6" s="265">
        <f>+C6+D6-E6</f>
        <v>0</v>
      </c>
    </row>
    <row r="7" spans="1:10" ht="12.75" customHeight="1" outlineLevel="1" x14ac:dyDescent="0.25">
      <c r="A7" s="247" t="s">
        <v>666</v>
      </c>
      <c r="B7" s="245">
        <v>57</v>
      </c>
      <c r="C7" s="265">
        <v>0</v>
      </c>
      <c r="D7" s="265">
        <v>0</v>
      </c>
      <c r="E7" s="265">
        <v>0</v>
      </c>
      <c r="F7" s="265">
        <f>+C7+D7-E7</f>
        <v>0</v>
      </c>
      <c r="I7" s="280"/>
      <c r="J7" s="281"/>
    </row>
    <row r="8" spans="1:10" ht="12.75" customHeight="1" outlineLevel="1" x14ac:dyDescent="0.25">
      <c r="A8" s="247" t="s">
        <v>667</v>
      </c>
      <c r="B8" s="245">
        <v>58</v>
      </c>
      <c r="C8" s="265">
        <v>0</v>
      </c>
      <c r="D8" s="265">
        <v>0</v>
      </c>
      <c r="E8" s="265">
        <v>0</v>
      </c>
      <c r="F8" s="265">
        <f>+C8+D8-E8</f>
        <v>0</v>
      </c>
      <c r="I8" s="281"/>
      <c r="J8" s="281"/>
    </row>
    <row r="9" spans="1:10" ht="12.75" customHeight="1" outlineLevel="1" x14ac:dyDescent="0.25">
      <c r="A9" s="247"/>
      <c r="B9" s="245"/>
      <c r="C9" s="265"/>
      <c r="D9" s="265"/>
      <c r="E9" s="265"/>
      <c r="F9" s="265"/>
      <c r="I9" s="281"/>
      <c r="J9" s="281"/>
    </row>
    <row r="10" spans="1:10" ht="12.75" customHeight="1" outlineLevel="1" x14ac:dyDescent="0.25">
      <c r="A10" s="266" t="s">
        <v>445</v>
      </c>
      <c r="B10" s="266"/>
      <c r="C10" s="267">
        <f>SUM(C5:C8)</f>
        <v>0</v>
      </c>
      <c r="D10" s="267">
        <f>SUM(D5:D8)</f>
        <v>0</v>
      </c>
      <c r="E10" s="267">
        <f>SUM(E5:E8)</f>
        <v>0</v>
      </c>
      <c r="F10" s="267">
        <f>SUM(F5:F8)</f>
        <v>0</v>
      </c>
      <c r="I10" s="280"/>
      <c r="J10" s="281"/>
    </row>
    <row r="11" spans="1:10" ht="12.75" customHeight="1" outlineLevel="1" x14ac:dyDescent="0.15"/>
    <row r="12" spans="1:10" ht="12.75" customHeight="1" outlineLevel="1" x14ac:dyDescent="0.15"/>
    <row r="13" spans="1:10" ht="12.75" customHeight="1" outlineLevel="1" x14ac:dyDescent="0.15"/>
    <row r="14" spans="1:10" ht="12.75" customHeight="1" outlineLevel="1" x14ac:dyDescent="0.15">
      <c r="A14" s="449"/>
      <c r="B14" s="449"/>
      <c r="C14" s="449"/>
      <c r="D14" s="449"/>
      <c r="E14" s="449"/>
    </row>
    <row r="15" spans="1:10" ht="12.75" customHeight="1" outlineLevel="1" x14ac:dyDescent="0.15">
      <c r="A15" s="449"/>
      <c r="B15" s="449"/>
      <c r="C15" s="449"/>
      <c r="D15" s="449"/>
      <c r="E15" s="449"/>
    </row>
    <row r="16" spans="1:10" ht="12.75" customHeight="1" outlineLevel="1" x14ac:dyDescent="0.15">
      <c r="A16" s="449"/>
      <c r="B16" s="449"/>
      <c r="C16" s="449"/>
      <c r="D16" s="449"/>
      <c r="E16" s="449"/>
    </row>
    <row r="17" spans="1:5" ht="12.75" customHeight="1" outlineLevel="1" x14ac:dyDescent="0.15">
      <c r="A17" s="449"/>
      <c r="B17" s="449"/>
      <c r="C17" s="449"/>
      <c r="D17" s="449"/>
      <c r="E17" s="449"/>
    </row>
    <row r="18" spans="1:5" ht="12.75" customHeight="1" outlineLevel="1" x14ac:dyDescent="0.15">
      <c r="A18" s="450"/>
      <c r="B18" s="450"/>
      <c r="C18" s="450"/>
      <c r="D18" s="450"/>
      <c r="E18" s="450"/>
    </row>
    <row r="19" spans="1:5" ht="12.75" customHeight="1" outlineLevel="1" x14ac:dyDescent="0.15">
      <c r="A19" s="450"/>
      <c r="B19" s="450"/>
      <c r="C19" s="450"/>
      <c r="D19" s="450"/>
      <c r="E19" s="450"/>
    </row>
    <row r="20" spans="1:5" ht="12.75" customHeight="1" outlineLevel="1" x14ac:dyDescent="0.15"/>
    <row r="21" spans="1:5" ht="12.75" customHeight="1" outlineLevel="1" x14ac:dyDescent="0.15"/>
    <row r="22" spans="1:5" ht="12.75" customHeight="1" outlineLevel="1" x14ac:dyDescent="0.15">
      <c r="A22" s="449"/>
      <c r="B22" s="449"/>
      <c r="C22" s="449"/>
      <c r="D22" s="449"/>
      <c r="E22" s="449"/>
    </row>
    <row r="23" spans="1:5" ht="12.75" customHeight="1" outlineLevel="1" x14ac:dyDescent="0.15">
      <c r="A23" s="449"/>
      <c r="B23" s="449"/>
      <c r="C23" s="449"/>
      <c r="D23" s="449"/>
      <c r="E23" s="449"/>
    </row>
    <row r="24" spans="1:5" ht="12.75" customHeight="1" outlineLevel="1" x14ac:dyDescent="0.15">
      <c r="A24" s="449"/>
      <c r="B24" s="449"/>
      <c r="C24" s="449"/>
      <c r="D24" s="449"/>
      <c r="E24" s="449"/>
    </row>
    <row r="25" spans="1:5" ht="12.75" customHeight="1" outlineLevel="1" x14ac:dyDescent="0.15">
      <c r="A25" s="449"/>
      <c r="B25" s="449"/>
      <c r="C25" s="449"/>
      <c r="D25" s="449"/>
      <c r="E25" s="449"/>
    </row>
    <row r="26" spans="1:5" ht="12.75" customHeight="1" outlineLevel="1" x14ac:dyDescent="0.15">
      <c r="A26" s="449"/>
      <c r="B26" s="449"/>
      <c r="C26" s="449"/>
      <c r="D26" s="449"/>
      <c r="E26" s="449"/>
    </row>
    <row r="27" spans="1:5" ht="12.75" customHeight="1" outlineLevel="1" x14ac:dyDescent="0.15">
      <c r="A27" s="449"/>
      <c r="B27" s="449"/>
      <c r="C27" s="449"/>
      <c r="D27" s="449"/>
      <c r="E27" s="449"/>
    </row>
    <row r="28" spans="1:5" ht="12.75" customHeight="1" outlineLevel="1" x14ac:dyDescent="0.15">
      <c r="A28" s="449"/>
      <c r="B28" s="449"/>
      <c r="C28" s="449"/>
      <c r="D28" s="449"/>
      <c r="E28" s="449"/>
    </row>
    <row r="29" spans="1:5" ht="12.75" customHeight="1" outlineLevel="1" x14ac:dyDescent="0.15">
      <c r="A29" s="449"/>
      <c r="B29" s="449"/>
      <c r="C29" s="449"/>
      <c r="D29" s="449"/>
      <c r="E29" s="449"/>
    </row>
    <row r="30" spans="1:5" ht="12.75" customHeight="1" outlineLevel="1" x14ac:dyDescent="0.15">
      <c r="A30" s="449"/>
      <c r="B30" s="449"/>
      <c r="C30" s="449"/>
      <c r="D30" s="449"/>
      <c r="E30" s="449"/>
    </row>
    <row r="31" spans="1:5" ht="12.75" customHeight="1" outlineLevel="1" x14ac:dyDescent="0.15">
      <c r="A31" s="449"/>
      <c r="B31" s="449"/>
      <c r="C31" s="449"/>
      <c r="D31" s="449"/>
      <c r="E31" s="449"/>
    </row>
    <row r="32" spans="1:5" ht="12.75" customHeight="1" outlineLevel="1" x14ac:dyDescent="0.15"/>
    <row r="33" spans="1:5" ht="12.75" customHeight="1" outlineLevel="1" x14ac:dyDescent="0.15"/>
    <row r="34" spans="1:5" ht="12.75" customHeight="1" outlineLevel="1" x14ac:dyDescent="0.15">
      <c r="A34" s="449"/>
      <c r="B34" s="449"/>
      <c r="C34" s="449"/>
      <c r="D34" s="449"/>
      <c r="E34" s="449"/>
    </row>
    <row r="35" spans="1:5" ht="12.75" customHeight="1" outlineLevel="1" x14ac:dyDescent="0.15">
      <c r="A35" s="449"/>
      <c r="B35" s="449"/>
      <c r="C35" s="449"/>
      <c r="D35" s="449"/>
      <c r="E35" s="449"/>
    </row>
  </sheetData>
  <mergeCells count="6">
    <mergeCell ref="A34:E35"/>
    <mergeCell ref="A14:E17"/>
    <mergeCell ref="A18:E19"/>
    <mergeCell ref="A22:E23"/>
    <mergeCell ref="A24:E27"/>
    <mergeCell ref="A28:E31"/>
  </mergeCells>
  <pageMargins left="0.75" right="0.75" top="1" bottom="1" header="0" footer="0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workbookViewId="0">
      <selection activeCell="F22" sqref="F22"/>
    </sheetView>
  </sheetViews>
  <sheetFormatPr defaultRowHeight="12.75" customHeight="1" outlineLevelRow="1" x14ac:dyDescent="0.3"/>
  <cols>
    <col min="1" max="1" width="41.85546875" style="210" customWidth="1"/>
    <col min="2" max="2" width="0" style="210" hidden="1" customWidth="1"/>
    <col min="3" max="3" width="16.140625" style="210" customWidth="1"/>
    <col min="4" max="4" width="16.5703125" style="210" customWidth="1"/>
    <col min="5" max="5" width="13.140625" style="210" customWidth="1"/>
    <col min="6" max="6" width="16.28515625" style="210" customWidth="1"/>
    <col min="7" max="16384" width="9.140625" style="210"/>
  </cols>
  <sheetData>
    <row r="1" spans="1:6" ht="12.75" customHeight="1" x14ac:dyDescent="0.3">
      <c r="A1" s="209" t="s">
        <v>668</v>
      </c>
    </row>
    <row r="3" spans="1:6" ht="12.75" customHeight="1" outlineLevel="1" x14ac:dyDescent="0.3">
      <c r="A3" s="209" t="s">
        <v>669</v>
      </c>
    </row>
    <row r="4" spans="1:6" ht="28.5" customHeight="1" outlineLevel="1" x14ac:dyDescent="0.3">
      <c r="A4" s="222" t="s">
        <v>424</v>
      </c>
      <c r="B4" s="223"/>
      <c r="C4" s="223" t="s">
        <v>452</v>
      </c>
      <c r="D4" s="223" t="s">
        <v>454</v>
      </c>
      <c r="E4" s="223" t="s">
        <v>500</v>
      </c>
      <c r="F4" s="225" t="s">
        <v>457</v>
      </c>
    </row>
    <row r="5" spans="1:6" ht="12.75" customHeight="1" outlineLevel="1" x14ac:dyDescent="0.3">
      <c r="A5" s="282" t="s">
        <v>670</v>
      </c>
      <c r="B5" s="283"/>
      <c r="C5" s="284"/>
      <c r="D5" s="285"/>
      <c r="E5" s="284"/>
      <c r="F5" s="284"/>
    </row>
    <row r="6" spans="1:6" ht="12.75" customHeight="1" outlineLevel="1" x14ac:dyDescent="0.3">
      <c r="A6" s="286" t="s">
        <v>671</v>
      </c>
      <c r="B6" s="283"/>
      <c r="C6" s="284"/>
      <c r="D6" s="285"/>
      <c r="E6" s="284"/>
      <c r="F6" s="284"/>
    </row>
    <row r="7" spans="1:6" ht="12.75" customHeight="1" outlineLevel="1" x14ac:dyDescent="0.3">
      <c r="A7" s="240" t="s">
        <v>672</v>
      </c>
      <c r="B7" s="214">
        <v>8111</v>
      </c>
      <c r="C7" s="284">
        <v>0</v>
      </c>
      <c r="D7" s="284">
        <v>0</v>
      </c>
      <c r="E7" s="284">
        <v>0</v>
      </c>
      <c r="F7" s="284">
        <f>+C7+D7-E7</f>
        <v>0</v>
      </c>
    </row>
    <row r="8" spans="1:6" ht="12.75" customHeight="1" outlineLevel="1" x14ac:dyDescent="0.3">
      <c r="A8" s="240" t="s">
        <v>673</v>
      </c>
      <c r="B8" s="214">
        <v>8112</v>
      </c>
      <c r="C8" s="284">
        <v>0</v>
      </c>
      <c r="D8" s="284">
        <v>0</v>
      </c>
      <c r="E8" s="284">
        <v>0</v>
      </c>
      <c r="F8" s="284">
        <f t="shared" ref="F8:F13" si="0">+C8+D8-E8</f>
        <v>0</v>
      </c>
    </row>
    <row r="9" spans="1:6" ht="12.75" customHeight="1" outlineLevel="1" x14ac:dyDescent="0.3">
      <c r="A9" s="240" t="s">
        <v>674</v>
      </c>
      <c r="B9" s="214">
        <v>8113</v>
      </c>
      <c r="C9" s="284">
        <v>0</v>
      </c>
      <c r="D9" s="284">
        <v>0</v>
      </c>
      <c r="E9" s="284">
        <v>0</v>
      </c>
      <c r="F9" s="284">
        <f t="shared" si="0"/>
        <v>0</v>
      </c>
    </row>
    <row r="10" spans="1:6" ht="12.75" customHeight="1" outlineLevel="1" x14ac:dyDescent="0.3">
      <c r="A10" s="240" t="s">
        <v>675</v>
      </c>
      <c r="B10" s="214">
        <v>8114</v>
      </c>
      <c r="C10" s="284">
        <v>0</v>
      </c>
      <c r="D10" s="284">
        <v>0</v>
      </c>
      <c r="E10" s="284">
        <v>0</v>
      </c>
      <c r="F10" s="284">
        <f t="shared" si="0"/>
        <v>0</v>
      </c>
    </row>
    <row r="11" spans="1:6" ht="12.75" customHeight="1" outlineLevel="1" x14ac:dyDescent="0.3">
      <c r="A11" s="240" t="s">
        <v>676</v>
      </c>
      <c r="B11" s="214">
        <v>8115</v>
      </c>
      <c r="C11" s="284">
        <v>0</v>
      </c>
      <c r="D11" s="284">
        <v>0</v>
      </c>
      <c r="E11" s="284">
        <v>0</v>
      </c>
      <c r="F11" s="284">
        <f t="shared" si="0"/>
        <v>0</v>
      </c>
    </row>
    <row r="12" spans="1:6" ht="12.75" customHeight="1" outlineLevel="1" x14ac:dyDescent="0.3">
      <c r="A12" s="240" t="s">
        <v>677</v>
      </c>
      <c r="B12" s="214"/>
      <c r="C12" s="284">
        <v>0</v>
      </c>
      <c r="D12" s="284">
        <v>0</v>
      </c>
      <c r="E12" s="284">
        <v>0</v>
      </c>
      <c r="F12" s="284">
        <f t="shared" si="0"/>
        <v>0</v>
      </c>
    </row>
    <row r="13" spans="1:6" ht="12.75" customHeight="1" outlineLevel="1" x14ac:dyDescent="0.3">
      <c r="A13" s="287" t="s">
        <v>678</v>
      </c>
      <c r="B13" s="214"/>
      <c r="C13" s="284">
        <v>0</v>
      </c>
      <c r="D13" s="284">
        <v>0</v>
      </c>
      <c r="E13" s="284">
        <v>0</v>
      </c>
      <c r="F13" s="284">
        <f t="shared" si="0"/>
        <v>0</v>
      </c>
    </row>
    <row r="14" spans="1:6" ht="12.75" customHeight="1" outlineLevel="1" x14ac:dyDescent="0.3">
      <c r="A14" s="287"/>
      <c r="B14" s="214"/>
      <c r="C14" s="284"/>
      <c r="D14" s="284"/>
      <c r="E14" s="284"/>
      <c r="F14" s="284"/>
    </row>
    <row r="15" spans="1:6" ht="12.75" customHeight="1" outlineLevel="1" x14ac:dyDescent="0.3">
      <c r="A15" s="216" t="s">
        <v>445</v>
      </c>
      <c r="B15" s="216"/>
      <c r="C15" s="288">
        <f>SUM(C7:C13)</f>
        <v>0</v>
      </c>
      <c r="D15" s="288">
        <f>SUM(D7:D13)</f>
        <v>0</v>
      </c>
      <c r="E15" s="288">
        <f>SUM(E7:E13)</f>
        <v>0</v>
      </c>
      <c r="F15" s="288">
        <f>SUM(F7:F13)</f>
        <v>0</v>
      </c>
    </row>
    <row r="16" spans="1:6" ht="12.75" customHeight="1" outlineLevel="1" x14ac:dyDescent="0.3"/>
    <row r="17" ht="12.75" customHeight="1" outlineLevel="1" x14ac:dyDescent="0.3"/>
  </sheetData>
  <pageMargins left="0.74803149606299213" right="0.74803149606299213" top="0.98425196850393704" bottom="0.98425196850393704" header="0" footer="0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workbookViewId="0">
      <selection activeCell="A15" sqref="A15"/>
    </sheetView>
  </sheetViews>
  <sheetFormatPr defaultRowHeight="12.75" customHeight="1" outlineLevelRow="1" x14ac:dyDescent="0.15"/>
  <cols>
    <col min="1" max="1" width="28.42578125" style="244" customWidth="1"/>
    <col min="2" max="2" width="10.85546875" style="244" hidden="1" customWidth="1"/>
    <col min="3" max="3" width="12.7109375" style="244" bestFit="1" customWidth="1"/>
    <col min="4" max="4" width="17.28515625" style="244" bestFit="1" customWidth="1"/>
    <col min="5" max="5" width="11.7109375" style="244" customWidth="1"/>
    <col min="6" max="6" width="23.140625" style="244" bestFit="1" customWidth="1"/>
    <col min="7" max="16384" width="9.140625" style="244"/>
  </cols>
  <sheetData>
    <row r="1" spans="1:6" ht="12.75" customHeight="1" x14ac:dyDescent="0.15">
      <c r="A1" s="243" t="s">
        <v>679</v>
      </c>
    </row>
    <row r="3" spans="1:6" ht="12.75" customHeight="1" outlineLevel="1" x14ac:dyDescent="0.15">
      <c r="A3" s="243" t="s">
        <v>680</v>
      </c>
      <c r="B3" s="243"/>
    </row>
    <row r="4" spans="1:6" ht="12.75" customHeight="1" outlineLevel="1" x14ac:dyDescent="0.15">
      <c r="A4" s="451" t="s">
        <v>424</v>
      </c>
      <c r="B4" s="454"/>
      <c r="C4" s="454" t="s">
        <v>606</v>
      </c>
      <c r="D4" s="454" t="s">
        <v>607</v>
      </c>
      <c r="E4" s="454"/>
      <c r="F4" s="457"/>
    </row>
    <row r="5" spans="1:6" ht="12.75" customHeight="1" outlineLevel="1" x14ac:dyDescent="0.15">
      <c r="A5" s="452"/>
      <c r="B5" s="455"/>
      <c r="C5" s="455"/>
      <c r="D5" s="455" t="s">
        <v>608</v>
      </c>
      <c r="E5" s="455" t="s">
        <v>609</v>
      </c>
      <c r="F5" s="458" t="s">
        <v>445</v>
      </c>
    </row>
    <row r="6" spans="1:6" ht="12.75" customHeight="1" outlineLevel="1" x14ac:dyDescent="0.15">
      <c r="A6" s="452"/>
      <c r="B6" s="455"/>
      <c r="C6" s="455"/>
      <c r="D6" s="455"/>
      <c r="E6" s="455"/>
      <c r="F6" s="458"/>
    </row>
    <row r="7" spans="1:6" ht="12.75" customHeight="1" outlineLevel="1" x14ac:dyDescent="0.15">
      <c r="A7" s="453"/>
      <c r="B7" s="456"/>
      <c r="C7" s="456"/>
      <c r="D7" s="456"/>
      <c r="E7" s="456"/>
      <c r="F7" s="459"/>
    </row>
    <row r="8" spans="1:6" ht="12.75" customHeight="1" outlineLevel="1" x14ac:dyDescent="0.15">
      <c r="A8" s="247" t="s">
        <v>681</v>
      </c>
      <c r="B8" s="247" t="s">
        <v>682</v>
      </c>
      <c r="C8" s="265">
        <v>0</v>
      </c>
      <c r="D8" s="246">
        <v>0</v>
      </c>
      <c r="E8" s="246">
        <v>0</v>
      </c>
      <c r="F8" s="265">
        <f>C8+D8+E8</f>
        <v>0</v>
      </c>
    </row>
    <row r="9" spans="1:6" ht="12.75" customHeight="1" outlineLevel="1" x14ac:dyDescent="0.15">
      <c r="A9" s="247" t="s">
        <v>683</v>
      </c>
      <c r="B9" s="247" t="s">
        <v>684</v>
      </c>
      <c r="C9" s="265">
        <v>0</v>
      </c>
      <c r="D9" s="246">
        <v>0</v>
      </c>
      <c r="E9" s="246">
        <v>0</v>
      </c>
      <c r="F9" s="265">
        <f t="shared" ref="F9:F11" si="0">C9+D9+E9</f>
        <v>0</v>
      </c>
    </row>
    <row r="10" spans="1:6" ht="12.75" customHeight="1" outlineLevel="1" x14ac:dyDescent="0.15">
      <c r="A10" s="247" t="s">
        <v>685</v>
      </c>
      <c r="B10" s="247" t="s">
        <v>686</v>
      </c>
      <c r="C10" s="265">
        <v>0</v>
      </c>
      <c r="D10" s="246">
        <v>0</v>
      </c>
      <c r="E10" s="246">
        <v>0</v>
      </c>
      <c r="F10" s="265">
        <f t="shared" si="0"/>
        <v>0</v>
      </c>
    </row>
    <row r="11" spans="1:6" ht="12.75" customHeight="1" outlineLevel="1" x14ac:dyDescent="0.15">
      <c r="A11" s="247" t="s">
        <v>687</v>
      </c>
      <c r="B11" s="247" t="s">
        <v>688</v>
      </c>
      <c r="C11" s="265">
        <v>0</v>
      </c>
      <c r="D11" s="246">
        <v>0</v>
      </c>
      <c r="E11" s="246">
        <v>0</v>
      </c>
      <c r="F11" s="265">
        <f t="shared" si="0"/>
        <v>0</v>
      </c>
    </row>
    <row r="12" spans="1:6" ht="12.75" customHeight="1" outlineLevel="1" x14ac:dyDescent="0.15">
      <c r="A12" s="247"/>
      <c r="B12" s="247"/>
      <c r="C12" s="265"/>
      <c r="D12" s="246"/>
      <c r="E12" s="246"/>
      <c r="F12" s="265"/>
    </row>
    <row r="13" spans="1:6" ht="12.75" customHeight="1" outlineLevel="1" x14ac:dyDescent="0.15">
      <c r="A13" s="266" t="s">
        <v>445</v>
      </c>
      <c r="B13" s="266"/>
      <c r="C13" s="267">
        <f>SUM(C8:C11)</f>
        <v>0</v>
      </c>
      <c r="D13" s="267">
        <f>SUM(D8:D11)</f>
        <v>0</v>
      </c>
      <c r="E13" s="267">
        <f>SUM(E8:E11)</f>
        <v>0</v>
      </c>
      <c r="F13" s="267">
        <f>SUM(F8:F11)</f>
        <v>0</v>
      </c>
    </row>
    <row r="14" spans="1:6" ht="12.75" customHeight="1" x14ac:dyDescent="0.15">
      <c r="B14" s="253"/>
    </row>
  </sheetData>
  <mergeCells count="7">
    <mergeCell ref="A4:A7"/>
    <mergeCell ref="B4:B7"/>
    <mergeCell ref="C4:C7"/>
    <mergeCell ref="D4:F4"/>
    <mergeCell ref="D5:D7"/>
    <mergeCell ref="E5:E7"/>
    <mergeCell ref="F5:F7"/>
  </mergeCells>
  <pageMargins left="0.75" right="0.75" top="1" bottom="1" header="0" footer="0"/>
  <pageSetup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showGridLines="0" workbookViewId="0">
      <selection activeCell="E18" sqref="E18"/>
    </sheetView>
  </sheetViews>
  <sheetFormatPr defaultRowHeight="10.5" outlineLevelRow="1" x14ac:dyDescent="0.15"/>
  <cols>
    <col min="1" max="1" width="22.5703125" style="244" customWidth="1"/>
    <col min="2" max="2" width="0" style="244" hidden="1" customWidth="1"/>
    <col min="3" max="3" width="12" style="244" customWidth="1"/>
    <col min="4" max="4" width="9.5703125" style="244" customWidth="1"/>
    <col min="5" max="5" width="11.5703125" style="244" customWidth="1"/>
    <col min="6" max="6" width="10.85546875" style="244" customWidth="1"/>
    <col min="7" max="16384" width="9.140625" style="244"/>
  </cols>
  <sheetData>
    <row r="1" spans="1:6" x14ac:dyDescent="0.15">
      <c r="A1" s="243" t="s">
        <v>695</v>
      </c>
    </row>
    <row r="3" spans="1:6" outlineLevel="1" x14ac:dyDescent="0.15">
      <c r="A3" s="243" t="s">
        <v>696</v>
      </c>
    </row>
    <row r="4" spans="1:6" outlineLevel="1" x14ac:dyDescent="0.15">
      <c r="A4" s="462" t="s">
        <v>424</v>
      </c>
      <c r="B4" s="464"/>
      <c r="C4" s="466" t="s">
        <v>452</v>
      </c>
      <c r="D4" s="466" t="s">
        <v>454</v>
      </c>
      <c r="E4" s="466" t="s">
        <v>500</v>
      </c>
      <c r="F4" s="460" t="s">
        <v>457</v>
      </c>
    </row>
    <row r="5" spans="1:6" outlineLevel="1" x14ac:dyDescent="0.15">
      <c r="A5" s="463"/>
      <c r="B5" s="465"/>
      <c r="C5" s="467"/>
      <c r="D5" s="467"/>
      <c r="E5" s="467"/>
      <c r="F5" s="461"/>
    </row>
    <row r="6" spans="1:6" outlineLevel="1" x14ac:dyDescent="0.15">
      <c r="A6" s="247" t="s">
        <v>35</v>
      </c>
      <c r="B6" s="289">
        <v>391</v>
      </c>
      <c r="C6" s="265">
        <v>0</v>
      </c>
      <c r="D6" s="265">
        <v>0</v>
      </c>
      <c r="E6" s="265">
        <v>0</v>
      </c>
      <c r="F6" s="265">
        <f>+C6+D6-E6</f>
        <v>0</v>
      </c>
    </row>
    <row r="7" spans="1:6" outlineLevel="1" x14ac:dyDescent="0.15">
      <c r="A7" s="290"/>
      <c r="B7" s="291"/>
      <c r="C7" s="292"/>
      <c r="D7" s="292"/>
      <c r="E7" s="292"/>
      <c r="F7" s="292"/>
    </row>
    <row r="8" spans="1:6" outlineLevel="1" x14ac:dyDescent="0.15">
      <c r="A8" s="293" t="s">
        <v>445</v>
      </c>
      <c r="B8" s="294">
        <v>391</v>
      </c>
      <c r="C8" s="295">
        <f>C6</f>
        <v>0</v>
      </c>
      <c r="D8" s="295">
        <f t="shared" ref="D8:E8" si="0">D6</f>
        <v>0</v>
      </c>
      <c r="E8" s="295">
        <f t="shared" si="0"/>
        <v>0</v>
      </c>
      <c r="F8" s="295">
        <f>+C8+D8-E8</f>
        <v>0</v>
      </c>
    </row>
  </sheetData>
  <mergeCells count="6">
    <mergeCell ref="F4:F5"/>
    <mergeCell ref="A4:A5"/>
    <mergeCell ref="B4:B5"/>
    <mergeCell ref="C4:C5"/>
    <mergeCell ref="D4:D5"/>
    <mergeCell ref="E4:E5"/>
  </mergeCells>
  <pageMargins left="0.75" right="0.75" top="1" bottom="1" header="0" footer="0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workbookViewId="0">
      <selection activeCell="F22" sqref="F22"/>
    </sheetView>
  </sheetViews>
  <sheetFormatPr defaultRowHeight="12.75" customHeight="1" outlineLevelRow="1" x14ac:dyDescent="0.15"/>
  <cols>
    <col min="1" max="1" width="26.28515625" style="244" customWidth="1"/>
    <col min="2" max="2" width="0" style="244" hidden="1" customWidth="1"/>
    <col min="3" max="3" width="11.85546875" style="244" customWidth="1"/>
    <col min="4" max="4" width="11.42578125" style="244" customWidth="1"/>
    <col min="5" max="5" width="12.5703125" style="244" customWidth="1"/>
    <col min="6" max="6" width="10.7109375" style="244" customWidth="1"/>
    <col min="7" max="16384" width="9.140625" style="244"/>
  </cols>
  <sheetData>
    <row r="1" spans="1:6" ht="12.75" customHeight="1" x14ac:dyDescent="0.15">
      <c r="A1" s="243" t="s">
        <v>697</v>
      </c>
    </row>
    <row r="3" spans="1:6" ht="12.75" customHeight="1" outlineLevel="1" x14ac:dyDescent="0.15">
      <c r="A3" s="243" t="s">
        <v>698</v>
      </c>
    </row>
    <row r="4" spans="1:6" ht="12.75" customHeight="1" outlineLevel="1" x14ac:dyDescent="0.15">
      <c r="A4" s="470" t="s">
        <v>424</v>
      </c>
      <c r="B4" s="472"/>
      <c r="C4" s="472" t="s">
        <v>452</v>
      </c>
      <c r="D4" s="472" t="s">
        <v>454</v>
      </c>
      <c r="E4" s="472" t="s">
        <v>500</v>
      </c>
      <c r="F4" s="468" t="s">
        <v>457</v>
      </c>
    </row>
    <row r="5" spans="1:6" ht="12.75" customHeight="1" outlineLevel="1" x14ac:dyDescent="0.15">
      <c r="A5" s="471"/>
      <c r="B5" s="473"/>
      <c r="C5" s="473"/>
      <c r="D5" s="473"/>
      <c r="E5" s="473"/>
      <c r="F5" s="469"/>
    </row>
    <row r="6" spans="1:6" ht="12.75" customHeight="1" outlineLevel="1" x14ac:dyDescent="0.15">
      <c r="A6" s="247" t="s">
        <v>699</v>
      </c>
      <c r="B6" s="264">
        <v>392</v>
      </c>
      <c r="C6" s="265">
        <v>0</v>
      </c>
      <c r="D6" s="265">
        <v>0</v>
      </c>
      <c r="E6" s="265">
        <v>0</v>
      </c>
      <c r="F6" s="265">
        <f>+C6+D6-E6</f>
        <v>0</v>
      </c>
    </row>
    <row r="7" spans="1:6" ht="12.75" customHeight="1" outlineLevel="1" x14ac:dyDescent="0.15">
      <c r="A7" s="247" t="s">
        <v>700</v>
      </c>
      <c r="B7" s="264">
        <v>393</v>
      </c>
      <c r="C7" s="265">
        <v>0</v>
      </c>
      <c r="D7" s="265">
        <v>0</v>
      </c>
      <c r="E7" s="265">
        <v>0</v>
      </c>
      <c r="F7" s="265">
        <f>+C7+D7-E7</f>
        <v>0</v>
      </c>
    </row>
    <row r="8" spans="1:6" ht="12.75" customHeight="1" outlineLevel="1" x14ac:dyDescent="0.15">
      <c r="A8" s="247" t="s">
        <v>701</v>
      </c>
      <c r="B8" s="245">
        <v>394</v>
      </c>
      <c r="C8" s="265">
        <v>0</v>
      </c>
      <c r="D8" s="265">
        <v>0</v>
      </c>
      <c r="E8" s="265">
        <v>0</v>
      </c>
      <c r="F8" s="265">
        <f>+C8+D8-E8</f>
        <v>0</v>
      </c>
    </row>
    <row r="9" spans="1:6" ht="12.75" customHeight="1" outlineLevel="1" x14ac:dyDescent="0.15">
      <c r="A9" s="247" t="s">
        <v>36</v>
      </c>
      <c r="B9" s="245"/>
      <c r="C9" s="265"/>
      <c r="D9" s="246"/>
      <c r="E9" s="246"/>
      <c r="F9" s="246"/>
    </row>
    <row r="10" spans="1:6" ht="12.75" customHeight="1" outlineLevel="1" x14ac:dyDescent="0.15">
      <c r="A10" s="269" t="s">
        <v>702</v>
      </c>
      <c r="B10" s="245">
        <v>3991</v>
      </c>
      <c r="C10" s="265">
        <v>0</v>
      </c>
      <c r="D10" s="265">
        <v>0</v>
      </c>
      <c r="E10" s="265">
        <v>0</v>
      </c>
      <c r="F10" s="265">
        <f>+C10+D10-E10</f>
        <v>0</v>
      </c>
    </row>
    <row r="11" spans="1:6" ht="12.75" customHeight="1" outlineLevel="1" x14ac:dyDescent="0.15">
      <c r="A11" s="269"/>
      <c r="B11" s="245"/>
      <c r="C11" s="265"/>
      <c r="D11" s="265"/>
      <c r="E11" s="265"/>
      <c r="F11" s="265"/>
    </row>
    <row r="12" spans="1:6" ht="12.75" customHeight="1" outlineLevel="1" x14ac:dyDescent="0.15">
      <c r="A12" s="266" t="s">
        <v>445</v>
      </c>
      <c r="B12" s="266"/>
      <c r="C12" s="267">
        <f>SUM(C6:C10)</f>
        <v>0</v>
      </c>
      <c r="D12" s="267">
        <f>SUM(D6:D10)</f>
        <v>0</v>
      </c>
      <c r="E12" s="267">
        <f>SUM(E6:E10)</f>
        <v>0</v>
      </c>
      <c r="F12" s="267">
        <f>SUM(F6:F10)</f>
        <v>0</v>
      </c>
    </row>
  </sheetData>
  <mergeCells count="6">
    <mergeCell ref="F4:F5"/>
    <mergeCell ref="A4:A5"/>
    <mergeCell ref="B4:B5"/>
    <mergeCell ref="C4:C5"/>
    <mergeCell ref="D4:D5"/>
    <mergeCell ref="E4:E5"/>
  </mergeCells>
  <pageMargins left="0.75" right="0.75" top="1" bottom="1" header="0" footer="0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showGridLines="0" topLeftCell="A7" workbookViewId="0">
      <selection activeCell="A40" sqref="A40"/>
    </sheetView>
  </sheetViews>
  <sheetFormatPr defaultRowHeight="12.75" customHeight="1" outlineLevelRow="1" x14ac:dyDescent="0.3"/>
  <cols>
    <col min="1" max="1" width="32.85546875" style="210" customWidth="1"/>
    <col min="2" max="2" width="9.7109375" style="210" hidden="1" customWidth="1"/>
    <col min="3" max="3" width="15.7109375" style="210" customWidth="1"/>
    <col min="4" max="4" width="13" style="210" customWidth="1"/>
    <col min="5" max="5" width="9.85546875" style="210" customWidth="1"/>
    <col min="6" max="6" width="11" style="210" customWidth="1"/>
    <col min="7" max="7" width="9.140625" style="210"/>
    <col min="8" max="8" width="18.5703125" style="210" bestFit="1" customWidth="1"/>
    <col min="9" max="9" width="9.140625" style="210"/>
    <col min="10" max="10" width="18.5703125" style="210" bestFit="1" customWidth="1"/>
    <col min="11" max="16384" width="9.140625" style="210"/>
  </cols>
  <sheetData>
    <row r="1" spans="1:6" ht="12.75" customHeight="1" x14ac:dyDescent="0.3">
      <c r="A1" s="209" t="s">
        <v>703</v>
      </c>
    </row>
    <row r="3" spans="1:6" ht="12.75" customHeight="1" outlineLevel="1" x14ac:dyDescent="0.3">
      <c r="A3" s="209" t="s">
        <v>704</v>
      </c>
    </row>
    <row r="4" spans="1:6" ht="12.75" customHeight="1" outlineLevel="1" x14ac:dyDescent="0.3">
      <c r="A4" s="393" t="s">
        <v>424</v>
      </c>
      <c r="B4" s="395"/>
      <c r="C4" s="395" t="s">
        <v>606</v>
      </c>
      <c r="D4" s="395" t="s">
        <v>607</v>
      </c>
      <c r="E4" s="395"/>
      <c r="F4" s="424"/>
    </row>
    <row r="5" spans="1:6" ht="12.75" customHeight="1" outlineLevel="1" x14ac:dyDescent="0.3">
      <c r="A5" s="394"/>
      <c r="B5" s="396"/>
      <c r="C5" s="396"/>
      <c r="D5" s="396" t="s">
        <v>608</v>
      </c>
      <c r="E5" s="396" t="s">
        <v>609</v>
      </c>
      <c r="F5" s="425" t="s">
        <v>445</v>
      </c>
    </row>
    <row r="6" spans="1:6" ht="12.75" customHeight="1" outlineLevel="1" x14ac:dyDescent="0.3">
      <c r="A6" s="394"/>
      <c r="B6" s="396"/>
      <c r="C6" s="396"/>
      <c r="D6" s="396"/>
      <c r="E6" s="396"/>
      <c r="F6" s="425"/>
    </row>
    <row r="7" spans="1:6" ht="12.75" customHeight="1" outlineLevel="1" x14ac:dyDescent="0.3">
      <c r="A7" s="422"/>
      <c r="B7" s="423"/>
      <c r="C7" s="423"/>
      <c r="D7" s="423"/>
      <c r="E7" s="423"/>
      <c r="F7" s="426"/>
    </row>
    <row r="8" spans="1:6" ht="12.75" customHeight="1" outlineLevel="1" x14ac:dyDescent="0.3">
      <c r="A8" s="240" t="s">
        <v>705</v>
      </c>
      <c r="B8" s="240">
        <v>321</v>
      </c>
      <c r="C8" s="215">
        <v>0</v>
      </c>
      <c r="D8" s="215">
        <v>0</v>
      </c>
      <c r="E8" s="215">
        <v>0</v>
      </c>
      <c r="F8" s="215">
        <f>+D8-E8</f>
        <v>0</v>
      </c>
    </row>
    <row r="9" spans="1:6" ht="12.75" customHeight="1" outlineLevel="1" x14ac:dyDescent="0.3">
      <c r="A9" s="240" t="s">
        <v>706</v>
      </c>
      <c r="B9" s="287">
        <v>322</v>
      </c>
      <c r="C9" s="215">
        <v>0</v>
      </c>
      <c r="D9" s="215">
        <v>0</v>
      </c>
      <c r="E9" s="215">
        <v>0</v>
      </c>
      <c r="F9" s="215">
        <f>+D9-E9</f>
        <v>0</v>
      </c>
    </row>
    <row r="10" spans="1:6" ht="12.75" customHeight="1" outlineLevel="1" x14ac:dyDescent="0.3">
      <c r="A10" s="240" t="s">
        <v>707</v>
      </c>
      <c r="B10" s="240"/>
      <c r="C10" s="215">
        <v>0</v>
      </c>
      <c r="D10" s="215">
        <v>0</v>
      </c>
      <c r="E10" s="215">
        <v>0</v>
      </c>
      <c r="F10" s="215">
        <f t="shared" ref="F10:F17" si="0">+D10-E10</f>
        <v>0</v>
      </c>
    </row>
    <row r="11" spans="1:6" ht="12.75" customHeight="1" outlineLevel="1" x14ac:dyDescent="0.3">
      <c r="A11" s="240" t="s">
        <v>708</v>
      </c>
      <c r="B11" s="240">
        <v>3191</v>
      </c>
      <c r="C11" s="215">
        <v>0</v>
      </c>
      <c r="D11" s="215">
        <v>0</v>
      </c>
      <c r="E11" s="215">
        <v>0</v>
      </c>
      <c r="F11" s="215">
        <f t="shared" si="0"/>
        <v>0</v>
      </c>
    </row>
    <row r="12" spans="1:6" ht="12.75" customHeight="1" outlineLevel="1" x14ac:dyDescent="0.3">
      <c r="A12" s="240" t="s">
        <v>709</v>
      </c>
      <c r="B12" s="240" t="s">
        <v>710</v>
      </c>
      <c r="C12" s="215">
        <v>0</v>
      </c>
      <c r="D12" s="215">
        <v>0</v>
      </c>
      <c r="E12" s="215">
        <v>0</v>
      </c>
      <c r="F12" s="215">
        <f t="shared" si="0"/>
        <v>0</v>
      </c>
    </row>
    <row r="13" spans="1:6" ht="12.75" customHeight="1" outlineLevel="1" x14ac:dyDescent="0.3">
      <c r="A13" s="240" t="s">
        <v>711</v>
      </c>
      <c r="B13" s="240">
        <v>34</v>
      </c>
      <c r="C13" s="215">
        <v>90000</v>
      </c>
      <c r="D13" s="215">
        <v>0</v>
      </c>
      <c r="E13" s="215">
        <v>0</v>
      </c>
      <c r="F13" s="215">
        <f>+C13</f>
        <v>90000</v>
      </c>
    </row>
    <row r="14" spans="1:6" ht="12.75" customHeight="1" outlineLevel="1" x14ac:dyDescent="0.3">
      <c r="A14" s="240" t="s">
        <v>616</v>
      </c>
      <c r="B14" s="240">
        <v>35</v>
      </c>
      <c r="C14" s="215">
        <v>0</v>
      </c>
      <c r="D14" s="215">
        <v>0</v>
      </c>
      <c r="E14" s="215">
        <v>0</v>
      </c>
      <c r="F14" s="215">
        <f t="shared" si="0"/>
        <v>0</v>
      </c>
    </row>
    <row r="15" spans="1:6" ht="12.75" customHeight="1" outlineLevel="1" x14ac:dyDescent="0.3">
      <c r="A15" s="240" t="s">
        <v>617</v>
      </c>
      <c r="B15" s="240">
        <v>36</v>
      </c>
      <c r="C15" s="215">
        <v>0</v>
      </c>
      <c r="D15" s="215">
        <v>0</v>
      </c>
      <c r="E15" s="215">
        <v>0</v>
      </c>
      <c r="F15" s="215">
        <f t="shared" si="0"/>
        <v>0</v>
      </c>
    </row>
    <row r="16" spans="1:6" ht="12.75" customHeight="1" outlineLevel="1" x14ac:dyDescent="0.3">
      <c r="A16" s="240" t="s">
        <v>712</v>
      </c>
      <c r="B16" s="240">
        <v>371</v>
      </c>
      <c r="C16" s="215">
        <v>0</v>
      </c>
      <c r="D16" s="215">
        <v>0</v>
      </c>
      <c r="E16" s="215">
        <v>0</v>
      </c>
      <c r="F16" s="215">
        <f t="shared" si="0"/>
        <v>0</v>
      </c>
    </row>
    <row r="17" spans="1:10" ht="12.75" customHeight="1" outlineLevel="1" x14ac:dyDescent="0.3">
      <c r="A17" s="240" t="s">
        <v>713</v>
      </c>
      <c r="B17" s="240">
        <v>3792</v>
      </c>
      <c r="C17" s="215">
        <v>0</v>
      </c>
      <c r="D17" s="215">
        <v>0</v>
      </c>
      <c r="E17" s="215">
        <v>0</v>
      </c>
      <c r="F17" s="215">
        <f t="shared" si="0"/>
        <v>0</v>
      </c>
    </row>
    <row r="18" spans="1:10" ht="12.75" customHeight="1" outlineLevel="1" x14ac:dyDescent="0.3">
      <c r="A18" s="240"/>
      <c r="B18" s="240"/>
      <c r="C18" s="215"/>
      <c r="D18" s="215"/>
      <c r="E18" s="215"/>
      <c r="F18" s="215"/>
    </row>
    <row r="19" spans="1:10" ht="12.75" customHeight="1" outlineLevel="1" x14ac:dyDescent="0.3">
      <c r="A19" s="216" t="s">
        <v>445</v>
      </c>
      <c r="B19" s="216"/>
      <c r="C19" s="217">
        <f>SUM(C8:C17)</f>
        <v>90000</v>
      </c>
      <c r="D19" s="217">
        <f>SUM(D8:D17)</f>
        <v>0</v>
      </c>
      <c r="E19" s="217">
        <f>SUM(E8:E17)</f>
        <v>0</v>
      </c>
      <c r="F19" s="217">
        <f>SUM(F8:F17)</f>
        <v>90000</v>
      </c>
      <c r="H19" s="229"/>
      <c r="J19" s="230"/>
    </row>
    <row r="20" spans="1:10" ht="12.75" customHeight="1" outlineLevel="1" x14ac:dyDescent="0.3"/>
    <row r="21" spans="1:10" ht="12.75" customHeight="1" outlineLevel="1" x14ac:dyDescent="0.3"/>
    <row r="22" spans="1:10" ht="12.75" customHeight="1" outlineLevel="1" x14ac:dyDescent="0.35">
      <c r="A22" s="239" t="s">
        <v>714</v>
      </c>
      <c r="B22" s="239"/>
      <c r="C22" s="239"/>
    </row>
    <row r="23" spans="1:10" ht="12.75" customHeight="1" outlineLevel="1" x14ac:dyDescent="0.3"/>
    <row r="24" spans="1:10" ht="12.75" customHeight="1" outlineLevel="1" x14ac:dyDescent="0.3">
      <c r="A24" s="474" t="s">
        <v>424</v>
      </c>
      <c r="B24" s="476"/>
      <c r="C24" s="476">
        <v>2015</v>
      </c>
      <c r="D24" s="477">
        <v>2014</v>
      </c>
    </row>
    <row r="25" spans="1:10" ht="12.75" customHeight="1" outlineLevel="1" x14ac:dyDescent="0.3">
      <c r="A25" s="475"/>
      <c r="B25" s="401"/>
      <c r="C25" s="401"/>
      <c r="D25" s="478"/>
    </row>
    <row r="26" spans="1:10" ht="12.75" customHeight="1" outlineLevel="1" x14ac:dyDescent="0.3">
      <c r="A26" s="240" t="s">
        <v>188</v>
      </c>
      <c r="B26" s="214"/>
      <c r="C26" s="215">
        <v>90000</v>
      </c>
      <c r="D26" s="215">
        <v>0</v>
      </c>
    </row>
    <row r="27" spans="1:10" ht="12.75" customHeight="1" outlineLevel="1" x14ac:dyDescent="0.3">
      <c r="A27" s="240"/>
      <c r="B27" s="214"/>
      <c r="C27" s="215"/>
      <c r="D27" s="215"/>
    </row>
    <row r="28" spans="1:10" ht="12.75" customHeight="1" outlineLevel="1" x14ac:dyDescent="0.3">
      <c r="A28" s="240" t="s">
        <v>715</v>
      </c>
      <c r="B28" s="214">
        <v>3412</v>
      </c>
      <c r="C28" s="215">
        <v>0</v>
      </c>
      <c r="D28" s="215">
        <v>0</v>
      </c>
    </row>
    <row r="29" spans="1:10" ht="12.75" customHeight="1" outlineLevel="1" x14ac:dyDescent="0.3">
      <c r="A29" s="240" t="s">
        <v>716</v>
      </c>
      <c r="B29" s="214">
        <v>3413</v>
      </c>
      <c r="C29" s="215">
        <v>0</v>
      </c>
      <c r="D29" s="215">
        <v>0</v>
      </c>
    </row>
    <row r="30" spans="1:10" ht="12.75" customHeight="1" outlineLevel="1" x14ac:dyDescent="0.3">
      <c r="A30" s="240" t="s">
        <v>717</v>
      </c>
      <c r="B30" s="214">
        <v>3411</v>
      </c>
      <c r="C30" s="215">
        <v>0</v>
      </c>
      <c r="D30" s="215">
        <v>0</v>
      </c>
    </row>
    <row r="31" spans="1:10" ht="12.75" customHeight="1" outlineLevel="1" x14ac:dyDescent="0.3">
      <c r="A31" s="240" t="s">
        <v>718</v>
      </c>
      <c r="B31" s="214">
        <v>342</v>
      </c>
      <c r="C31" s="215">
        <v>0</v>
      </c>
      <c r="D31" s="215">
        <v>0</v>
      </c>
    </row>
    <row r="32" spans="1:10" ht="12.75" customHeight="1" outlineLevel="1" x14ac:dyDescent="0.3">
      <c r="A32" s="240" t="s">
        <v>719</v>
      </c>
      <c r="B32" s="214">
        <v>343</v>
      </c>
      <c r="C32" s="215">
        <v>0</v>
      </c>
      <c r="D32" s="215">
        <v>0</v>
      </c>
    </row>
    <row r="33" spans="1:4" ht="12.75" customHeight="1" outlineLevel="1" x14ac:dyDescent="0.3">
      <c r="A33" s="240" t="s">
        <v>720</v>
      </c>
      <c r="B33" s="214">
        <v>344</v>
      </c>
      <c r="C33" s="215">
        <v>0</v>
      </c>
      <c r="D33" s="215">
        <v>0</v>
      </c>
    </row>
    <row r="34" spans="1:4" ht="12.75" customHeight="1" outlineLevel="1" x14ac:dyDescent="0.3">
      <c r="A34" s="240" t="s">
        <v>721</v>
      </c>
      <c r="B34" s="214">
        <v>349</v>
      </c>
      <c r="C34" s="215">
        <v>0</v>
      </c>
      <c r="D34" s="215">
        <v>0</v>
      </c>
    </row>
    <row r="35" spans="1:4" ht="12.75" customHeight="1" outlineLevel="1" x14ac:dyDescent="0.3">
      <c r="A35" s="240"/>
      <c r="B35" s="214"/>
      <c r="C35" s="215"/>
      <c r="D35" s="215"/>
    </row>
    <row r="36" spans="1:4" ht="12.75" customHeight="1" outlineLevel="1" x14ac:dyDescent="0.3">
      <c r="A36" s="216" t="s">
        <v>445</v>
      </c>
      <c r="B36" s="216"/>
      <c r="C36" s="217">
        <f>+C26+C31+C32+C33+C34</f>
        <v>90000</v>
      </c>
      <c r="D36" s="217">
        <f>+D26+D31+D32+D33+D34</f>
        <v>0</v>
      </c>
    </row>
  </sheetData>
  <mergeCells count="11">
    <mergeCell ref="A24:A25"/>
    <mergeCell ref="B24:B25"/>
    <mergeCell ref="C24:C25"/>
    <mergeCell ref="D24:D25"/>
    <mergeCell ref="A4:A7"/>
    <mergeCell ref="B4:B7"/>
    <mergeCell ref="C4:C7"/>
    <mergeCell ref="D4:F4"/>
    <mergeCell ref="D5:D7"/>
    <mergeCell ref="E5:E7"/>
    <mergeCell ref="F5:F7"/>
  </mergeCells>
  <pageMargins left="0.75" right="0.75" top="1" bottom="1" header="0" footer="0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showGridLines="0" workbookViewId="0">
      <selection activeCell="H10" sqref="H10"/>
    </sheetView>
  </sheetViews>
  <sheetFormatPr defaultRowHeight="12.75" customHeight="1" outlineLevelRow="1" x14ac:dyDescent="0.3"/>
  <cols>
    <col min="1" max="1" width="27" style="210" customWidth="1"/>
    <col min="2" max="2" width="0" style="210" hidden="1" customWidth="1"/>
    <col min="3" max="3" width="13.85546875" style="210" bestFit="1" customWidth="1"/>
    <col min="4" max="4" width="16.28515625" style="210" bestFit="1" customWidth="1"/>
    <col min="5" max="5" width="14.140625" style="210" customWidth="1"/>
    <col min="6" max="6" width="13.85546875" style="210" bestFit="1" customWidth="1"/>
    <col min="7" max="11" width="9.140625" style="210"/>
    <col min="12" max="12" width="15.85546875" style="210" bestFit="1" customWidth="1"/>
    <col min="13" max="16384" width="9.140625" style="210"/>
  </cols>
  <sheetData>
    <row r="1" spans="1:12" ht="12.75" customHeight="1" x14ac:dyDescent="0.3">
      <c r="A1" s="209" t="s">
        <v>722</v>
      </c>
    </row>
    <row r="3" spans="1:12" ht="12.75" customHeight="1" outlineLevel="1" x14ac:dyDescent="0.3">
      <c r="A3" s="209" t="s">
        <v>723</v>
      </c>
    </row>
    <row r="4" spans="1:12" ht="12.75" customHeight="1" outlineLevel="1" x14ac:dyDescent="0.3">
      <c r="A4" s="480" t="s">
        <v>424</v>
      </c>
      <c r="B4" s="481"/>
      <c r="C4" s="481" t="s">
        <v>452</v>
      </c>
      <c r="D4" s="481" t="s">
        <v>454</v>
      </c>
      <c r="E4" s="481" t="s">
        <v>500</v>
      </c>
      <c r="F4" s="479" t="s">
        <v>457</v>
      </c>
    </row>
    <row r="5" spans="1:12" ht="12.75" customHeight="1" outlineLevel="1" x14ac:dyDescent="0.35">
      <c r="A5" s="434"/>
      <c r="B5" s="427"/>
      <c r="C5" s="427"/>
      <c r="D5" s="427"/>
      <c r="E5" s="427"/>
      <c r="F5" s="435"/>
      <c r="I5" s="238"/>
      <c r="J5" s="239"/>
      <c r="K5" s="239"/>
      <c r="L5" s="239"/>
    </row>
    <row r="6" spans="1:12" ht="12.75" customHeight="1" outlineLevel="1" x14ac:dyDescent="0.35">
      <c r="A6" s="434"/>
      <c r="B6" s="427"/>
      <c r="C6" s="427"/>
      <c r="D6" s="427"/>
      <c r="E6" s="427"/>
      <c r="F6" s="435"/>
      <c r="I6" s="239"/>
      <c r="J6" s="239"/>
      <c r="K6" s="239"/>
      <c r="L6" s="239"/>
    </row>
    <row r="7" spans="1:12" ht="12.75" customHeight="1" outlineLevel="1" x14ac:dyDescent="0.35">
      <c r="A7" s="240" t="s">
        <v>681</v>
      </c>
      <c r="B7" s="240">
        <v>3311</v>
      </c>
      <c r="C7" s="284">
        <v>0</v>
      </c>
      <c r="D7" s="284">
        <v>0</v>
      </c>
      <c r="E7" s="284">
        <v>0</v>
      </c>
      <c r="F7" s="284">
        <f>C7+D7-E7</f>
        <v>0</v>
      </c>
      <c r="I7" s="238"/>
      <c r="J7" s="239"/>
      <c r="K7" s="239"/>
      <c r="L7" s="239"/>
    </row>
    <row r="8" spans="1:12" ht="12.75" customHeight="1" outlineLevel="1" x14ac:dyDescent="0.3">
      <c r="A8" s="240" t="s">
        <v>683</v>
      </c>
      <c r="B8" s="240">
        <v>3321</v>
      </c>
      <c r="C8" s="284">
        <v>0</v>
      </c>
      <c r="D8" s="284">
        <v>0</v>
      </c>
      <c r="E8" s="284">
        <v>0</v>
      </c>
      <c r="F8" s="284">
        <f>C8+D8-E8</f>
        <v>0</v>
      </c>
    </row>
    <row r="9" spans="1:12" ht="12.75" customHeight="1" outlineLevel="1" x14ac:dyDescent="0.3">
      <c r="A9" s="240" t="s">
        <v>685</v>
      </c>
      <c r="B9" s="240">
        <v>3331</v>
      </c>
      <c r="C9" s="284">
        <v>0</v>
      </c>
      <c r="D9" s="284">
        <v>0</v>
      </c>
      <c r="E9" s="284">
        <v>0</v>
      </c>
      <c r="F9" s="284">
        <f>C9+D9-E9</f>
        <v>0</v>
      </c>
    </row>
    <row r="10" spans="1:12" ht="12.75" customHeight="1" outlineLevel="1" x14ac:dyDescent="0.3">
      <c r="A10" s="240" t="s">
        <v>687</v>
      </c>
      <c r="B10" s="240">
        <v>3391</v>
      </c>
      <c r="C10" s="284">
        <v>0</v>
      </c>
      <c r="D10" s="284">
        <v>0</v>
      </c>
      <c r="E10" s="284">
        <v>0</v>
      </c>
      <c r="F10" s="284">
        <f>C10+D10-E10</f>
        <v>0</v>
      </c>
    </row>
    <row r="11" spans="1:12" ht="12.75" customHeight="1" outlineLevel="1" x14ac:dyDescent="0.3">
      <c r="A11" s="240"/>
      <c r="B11" s="240"/>
      <c r="C11" s="284"/>
      <c r="D11" s="284"/>
      <c r="E11" s="284"/>
      <c r="F11" s="284"/>
    </row>
    <row r="12" spans="1:12" ht="12.75" customHeight="1" outlineLevel="1" x14ac:dyDescent="0.3">
      <c r="A12" s="220" t="s">
        <v>445</v>
      </c>
      <c r="B12" s="220"/>
      <c r="C12" s="221">
        <f>SUM(C7:C10)</f>
        <v>0</v>
      </c>
      <c r="D12" s="221">
        <f>SUM(D7:D10)</f>
        <v>0</v>
      </c>
      <c r="E12" s="221">
        <f>SUM(E7:E10)</f>
        <v>0</v>
      </c>
      <c r="F12" s="221">
        <f>SUM(F7:F10)</f>
        <v>0</v>
      </c>
    </row>
    <row r="15" spans="1:12" ht="12.75" hidden="1" customHeight="1" outlineLevel="1" x14ac:dyDescent="0.3">
      <c r="A15" s="209" t="s">
        <v>724</v>
      </c>
    </row>
    <row r="16" spans="1:12" ht="12.75" hidden="1" customHeight="1" outlineLevel="1" x14ac:dyDescent="0.3">
      <c r="A16" s="423" t="s">
        <v>424</v>
      </c>
      <c r="B16" s="423"/>
      <c r="C16" s="423" t="s">
        <v>689</v>
      </c>
      <c r="D16" s="423" t="s">
        <v>690</v>
      </c>
      <c r="E16" s="423" t="s">
        <v>691</v>
      </c>
    </row>
    <row r="17" spans="1:12" ht="12.75" hidden="1" customHeight="1" outlineLevel="1" x14ac:dyDescent="0.3">
      <c r="A17" s="427"/>
      <c r="B17" s="427"/>
      <c r="C17" s="427"/>
      <c r="D17" s="427"/>
      <c r="E17" s="427"/>
      <c r="L17" s="229"/>
    </row>
    <row r="18" spans="1:12" ht="12.75" hidden="1" customHeight="1" outlineLevel="1" x14ac:dyDescent="0.3">
      <c r="A18" s="427"/>
      <c r="B18" s="427"/>
      <c r="C18" s="427"/>
      <c r="D18" s="427"/>
      <c r="E18" s="427"/>
      <c r="L18" s="296"/>
    </row>
    <row r="19" spans="1:12" ht="12.75" hidden="1" customHeight="1" outlineLevel="1" x14ac:dyDescent="0.3">
      <c r="A19" s="427"/>
      <c r="B19" s="427"/>
      <c r="C19" s="427"/>
      <c r="D19" s="427"/>
      <c r="E19" s="427"/>
      <c r="L19" s="230"/>
    </row>
    <row r="20" spans="1:12" ht="12.75" hidden="1" customHeight="1" outlineLevel="1" x14ac:dyDescent="0.3">
      <c r="A20" s="240" t="s">
        <v>681</v>
      </c>
      <c r="B20" s="240">
        <v>3311</v>
      </c>
      <c r="C20" s="284"/>
      <c r="D20" s="285"/>
      <c r="E20" s="284"/>
      <c r="L20" s="230"/>
    </row>
    <row r="21" spans="1:12" ht="33" hidden="1" customHeight="1" outlineLevel="1" x14ac:dyDescent="0.3">
      <c r="A21" s="287" t="s">
        <v>692</v>
      </c>
      <c r="B21" s="283"/>
      <c r="C21" s="284"/>
      <c r="D21" s="285"/>
      <c r="E21" s="284"/>
    </row>
    <row r="22" spans="1:12" ht="12.75" hidden="1" customHeight="1" outlineLevel="1" x14ac:dyDescent="0.3">
      <c r="A22" s="240" t="s">
        <v>683</v>
      </c>
      <c r="B22" s="240">
        <v>3321</v>
      </c>
      <c r="C22" s="284"/>
      <c r="D22" s="285"/>
      <c r="E22" s="284"/>
    </row>
    <row r="23" spans="1:12" ht="33.75" hidden="1" customHeight="1" outlineLevel="1" x14ac:dyDescent="0.3">
      <c r="A23" s="287" t="s">
        <v>693</v>
      </c>
      <c r="B23" s="283"/>
      <c r="C23" s="284"/>
      <c r="D23" s="285"/>
      <c r="E23" s="284"/>
    </row>
    <row r="24" spans="1:12" ht="12.75" hidden="1" customHeight="1" outlineLevel="1" x14ac:dyDescent="0.3">
      <c r="A24" s="240" t="s">
        <v>685</v>
      </c>
      <c r="B24" s="240">
        <v>3331</v>
      </c>
      <c r="C24" s="215"/>
      <c r="D24" s="215"/>
      <c r="E24" s="215"/>
    </row>
    <row r="25" spans="1:12" ht="30.75" hidden="1" customHeight="1" outlineLevel="1" x14ac:dyDescent="0.3">
      <c r="A25" s="287" t="s">
        <v>693</v>
      </c>
      <c r="B25" s="214"/>
      <c r="C25" s="215"/>
      <c r="D25" s="215"/>
      <c r="E25" s="215"/>
    </row>
    <row r="26" spans="1:12" ht="12.75" hidden="1" customHeight="1" outlineLevel="1" x14ac:dyDescent="0.3">
      <c r="A26" s="240" t="s">
        <v>687</v>
      </c>
      <c r="B26" s="240">
        <v>3391</v>
      </c>
      <c r="C26" s="215"/>
      <c r="D26" s="215"/>
      <c r="E26" s="215"/>
    </row>
    <row r="27" spans="1:12" ht="32.25" hidden="1" customHeight="1" outlineLevel="1" x14ac:dyDescent="0.3">
      <c r="A27" s="287" t="s">
        <v>693</v>
      </c>
      <c r="B27" s="214"/>
      <c r="C27" s="215"/>
      <c r="D27" s="215"/>
      <c r="E27" s="215"/>
    </row>
    <row r="28" spans="1:12" ht="12.75" hidden="1" customHeight="1" outlineLevel="1" x14ac:dyDescent="0.3">
      <c r="A28" s="220" t="s">
        <v>445</v>
      </c>
      <c r="B28" s="220"/>
      <c r="C28" s="221"/>
      <c r="D28" s="221"/>
      <c r="E28" s="221"/>
    </row>
    <row r="29" spans="1:12" ht="12.75" customHeight="1" collapsed="1" x14ac:dyDescent="0.3"/>
  </sheetData>
  <mergeCells count="11">
    <mergeCell ref="A16:A19"/>
    <mergeCell ref="B16:B19"/>
    <mergeCell ref="C16:C19"/>
    <mergeCell ref="D16:D19"/>
    <mergeCell ref="E16:E19"/>
    <mergeCell ref="F4:F6"/>
    <mergeCell ref="A4:A6"/>
    <mergeCell ref="B4:B6"/>
    <mergeCell ref="C4:C6"/>
    <mergeCell ref="D4:D6"/>
    <mergeCell ref="E4:E6"/>
  </mergeCells>
  <pageMargins left="0.75" right="0.75" top="1" bottom="1" header="0" footer="0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"/>
  <sheetViews>
    <sheetView showGridLines="0" workbookViewId="0">
      <selection activeCell="K1" sqref="K1"/>
    </sheetView>
  </sheetViews>
  <sheetFormatPr defaultRowHeight="12.75" customHeight="1" outlineLevelRow="1" x14ac:dyDescent="0.3"/>
  <cols>
    <col min="1" max="1" width="47" style="210" customWidth="1"/>
    <col min="2" max="2" width="0" style="210" hidden="1" customWidth="1"/>
    <col min="3" max="3" width="13.85546875" style="210" bestFit="1" customWidth="1"/>
    <col min="4" max="4" width="13.7109375" style="210" bestFit="1" customWidth="1"/>
    <col min="5" max="16384" width="9.140625" style="210"/>
  </cols>
  <sheetData>
    <row r="1" spans="1:10" ht="12.75" customHeight="1" x14ac:dyDescent="0.3">
      <c r="A1" s="209" t="s">
        <v>725</v>
      </c>
    </row>
    <row r="3" spans="1:10" ht="12.75" customHeight="1" outlineLevel="1" x14ac:dyDescent="0.3">
      <c r="A3" s="209" t="s">
        <v>726</v>
      </c>
    </row>
    <row r="4" spans="1:10" ht="12.75" customHeight="1" outlineLevel="1" x14ac:dyDescent="0.3">
      <c r="A4" s="482" t="s">
        <v>424</v>
      </c>
      <c r="B4" s="483"/>
      <c r="C4" s="476">
        <v>2014</v>
      </c>
      <c r="D4" s="477">
        <v>2013</v>
      </c>
    </row>
    <row r="5" spans="1:10" ht="12.75" customHeight="1" outlineLevel="1" x14ac:dyDescent="0.3">
      <c r="A5" s="442"/>
      <c r="B5" s="444"/>
      <c r="C5" s="401"/>
      <c r="D5" s="478"/>
    </row>
    <row r="6" spans="1:10" ht="12.75" customHeight="1" outlineLevel="1" x14ac:dyDescent="0.3">
      <c r="A6" s="240" t="s">
        <v>727</v>
      </c>
      <c r="B6" s="215"/>
      <c r="C6" s="215">
        <v>0</v>
      </c>
      <c r="D6" s="215">
        <v>0</v>
      </c>
    </row>
    <row r="7" spans="1:10" ht="12.75" customHeight="1" outlineLevel="1" x14ac:dyDescent="0.35">
      <c r="A7" s="240" t="s">
        <v>728</v>
      </c>
      <c r="B7" s="215"/>
      <c r="C7" s="215">
        <v>2081522</v>
      </c>
      <c r="D7" s="215">
        <v>0</v>
      </c>
      <c r="G7" s="238"/>
      <c r="H7" s="239"/>
      <c r="I7" s="239"/>
      <c r="J7" s="239"/>
    </row>
    <row r="8" spans="1:10" ht="12.75" customHeight="1" outlineLevel="1" x14ac:dyDescent="0.3">
      <c r="A8" s="287"/>
      <c r="B8" s="215"/>
      <c r="C8" s="215"/>
      <c r="D8" s="215"/>
    </row>
    <row r="9" spans="1:10" ht="12.75" customHeight="1" outlineLevel="1" x14ac:dyDescent="0.3">
      <c r="A9" s="216" t="s">
        <v>445</v>
      </c>
      <c r="B9" s="217"/>
      <c r="C9" s="217">
        <f>SUM(C6:C7)</f>
        <v>2081522</v>
      </c>
      <c r="D9" s="217">
        <f>SUM(D6:D7)</f>
        <v>0</v>
      </c>
    </row>
  </sheetData>
  <mergeCells count="4">
    <mergeCell ref="A4:A5"/>
    <mergeCell ref="B4:B5"/>
    <mergeCell ref="C4:C5"/>
    <mergeCell ref="D4:D5"/>
  </mergeCells>
  <pageMargins left="0.75" right="0.75" top="1" bottom="1" header="0" footer="0"/>
  <pageSetup orientation="portrait" r:id="rId1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workbookViewId="0">
      <selection activeCell="E21" sqref="E21"/>
    </sheetView>
  </sheetViews>
  <sheetFormatPr defaultRowHeight="12.75" customHeight="1" outlineLevelRow="1" x14ac:dyDescent="0.15"/>
  <cols>
    <col min="1" max="1" width="37.85546875" style="244" customWidth="1"/>
    <col min="2" max="2" width="10.28515625" style="244" hidden="1" customWidth="1"/>
    <col min="3" max="3" width="15.42578125" style="244" customWidth="1"/>
    <col min="4" max="4" width="14.5703125" style="244" customWidth="1"/>
    <col min="5" max="16384" width="9.140625" style="244"/>
  </cols>
  <sheetData>
    <row r="1" spans="1:13" ht="12.75" customHeight="1" x14ac:dyDescent="0.15">
      <c r="A1" s="243" t="s">
        <v>729</v>
      </c>
    </row>
    <row r="3" spans="1:13" ht="12.75" customHeight="1" outlineLevel="1" x14ac:dyDescent="0.15">
      <c r="A3" s="243" t="s">
        <v>730</v>
      </c>
    </row>
    <row r="4" spans="1:13" ht="12.75" customHeight="1" outlineLevel="1" x14ac:dyDescent="0.15">
      <c r="A4" s="484" t="s">
        <v>424</v>
      </c>
      <c r="B4" s="486"/>
      <c r="C4" s="486">
        <v>2014</v>
      </c>
      <c r="D4" s="489">
        <v>2013</v>
      </c>
    </row>
    <row r="5" spans="1:13" ht="12.75" customHeight="1" outlineLevel="1" x14ac:dyDescent="0.15">
      <c r="A5" s="485"/>
      <c r="B5" s="487"/>
      <c r="C5" s="488"/>
      <c r="D5" s="490"/>
    </row>
    <row r="6" spans="1:13" ht="12.75" customHeight="1" outlineLevel="1" x14ac:dyDescent="0.15">
      <c r="A6" s="247" t="s">
        <v>731</v>
      </c>
      <c r="B6" s="245"/>
      <c r="C6" s="246">
        <f>+C7+C8</f>
        <v>6739290</v>
      </c>
      <c r="D6" s="246">
        <f>+D7+D8</f>
        <v>0</v>
      </c>
    </row>
    <row r="7" spans="1:13" ht="12.75" customHeight="1" outlineLevel="1" x14ac:dyDescent="0.15">
      <c r="A7" s="247" t="s">
        <v>732</v>
      </c>
      <c r="B7" s="297" t="s">
        <v>733</v>
      </c>
      <c r="C7" s="265">
        <v>6739290</v>
      </c>
      <c r="D7" s="265">
        <v>0</v>
      </c>
    </row>
    <row r="8" spans="1:13" ht="12.75" customHeight="1" outlineLevel="1" x14ac:dyDescent="0.15">
      <c r="A8" s="247" t="s">
        <v>734</v>
      </c>
      <c r="B8" s="245">
        <v>615</v>
      </c>
      <c r="C8" s="265">
        <v>0</v>
      </c>
      <c r="D8" s="265">
        <v>0</v>
      </c>
    </row>
    <row r="9" spans="1:13" ht="12.75" customHeight="1" outlineLevel="1" x14ac:dyDescent="0.25">
      <c r="A9" s="247" t="s">
        <v>735</v>
      </c>
      <c r="B9" s="297" t="s">
        <v>736</v>
      </c>
      <c r="C9" s="265">
        <v>0</v>
      </c>
      <c r="D9" s="265">
        <v>0</v>
      </c>
      <c r="I9" s="281"/>
      <c r="J9" s="281"/>
      <c r="K9" s="281"/>
      <c r="L9" s="281"/>
      <c r="M9" s="281"/>
    </row>
    <row r="10" spans="1:13" ht="12.75" customHeight="1" outlineLevel="1" x14ac:dyDescent="0.25">
      <c r="A10" s="247"/>
      <c r="B10" s="297"/>
      <c r="C10" s="265"/>
      <c r="D10" s="265"/>
      <c r="I10" s="281"/>
      <c r="J10" s="281"/>
      <c r="K10" s="281"/>
      <c r="L10" s="281"/>
      <c r="M10" s="281"/>
    </row>
    <row r="11" spans="1:13" ht="12.75" customHeight="1" outlineLevel="1" x14ac:dyDescent="0.25">
      <c r="A11" s="266" t="s">
        <v>445</v>
      </c>
      <c r="B11" s="266"/>
      <c r="C11" s="267">
        <f>+C9+C6</f>
        <v>6739290</v>
      </c>
      <c r="D11" s="267">
        <f>+D9+D6</f>
        <v>0</v>
      </c>
      <c r="I11" s="280"/>
      <c r="J11" s="281"/>
      <c r="K11" s="281"/>
      <c r="L11" s="281"/>
      <c r="M11" s="281"/>
    </row>
  </sheetData>
  <mergeCells count="4">
    <mergeCell ref="A4:A5"/>
    <mergeCell ref="B4:B5"/>
    <mergeCell ref="C4:C5"/>
    <mergeCell ref="D4:D5"/>
  </mergeCells>
  <pageMargins left="0.75" right="0.75" top="1" bottom="1" header="0" footer="0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workbookViewId="0"/>
  </sheetViews>
  <sheetFormatPr defaultRowHeight="12.75" customHeight="1" outlineLevelRow="1" x14ac:dyDescent="0.3"/>
  <cols>
    <col min="1" max="1" width="34" style="210" customWidth="1"/>
    <col min="2" max="2" width="10.7109375" style="210" hidden="1" customWidth="1"/>
    <col min="3" max="3" width="15.42578125" style="210" bestFit="1" customWidth="1"/>
    <col min="4" max="4" width="15.85546875" style="210" customWidth="1"/>
    <col min="5" max="16384" width="9.140625" style="210"/>
  </cols>
  <sheetData>
    <row r="1" spans="1:4" ht="12.75" customHeight="1" x14ac:dyDescent="0.3">
      <c r="A1" s="209" t="s">
        <v>737</v>
      </c>
    </row>
    <row r="3" spans="1:4" ht="12.75" customHeight="1" outlineLevel="1" x14ac:dyDescent="0.3">
      <c r="A3" s="209" t="s">
        <v>738</v>
      </c>
    </row>
    <row r="4" spans="1:4" ht="12.75" customHeight="1" outlineLevel="1" x14ac:dyDescent="0.3">
      <c r="A4" s="482" t="s">
        <v>424</v>
      </c>
      <c r="B4" s="483"/>
      <c r="C4" s="483">
        <v>2015</v>
      </c>
      <c r="D4" s="493">
        <v>2014</v>
      </c>
    </row>
    <row r="5" spans="1:4" ht="12.75" customHeight="1" outlineLevel="1" x14ac:dyDescent="0.3">
      <c r="A5" s="491"/>
      <c r="B5" s="492"/>
      <c r="C5" s="492"/>
      <c r="D5" s="494"/>
    </row>
    <row r="6" spans="1:4" ht="12.75" customHeight="1" outlineLevel="1" x14ac:dyDescent="0.3">
      <c r="A6" s="260" t="s">
        <v>731</v>
      </c>
      <c r="B6" s="298" t="s">
        <v>739</v>
      </c>
      <c r="C6" s="299">
        <v>878850</v>
      </c>
      <c r="D6" s="299">
        <v>0</v>
      </c>
    </row>
    <row r="7" spans="1:4" ht="12.75" customHeight="1" outlineLevel="1" x14ac:dyDescent="0.3">
      <c r="A7" s="240" t="s">
        <v>735</v>
      </c>
      <c r="B7" s="300" t="s">
        <v>740</v>
      </c>
      <c r="C7" s="284">
        <v>0</v>
      </c>
      <c r="D7" s="284">
        <v>0</v>
      </c>
    </row>
    <row r="8" spans="1:4" ht="12.75" customHeight="1" outlineLevel="1" x14ac:dyDescent="0.3">
      <c r="A8" s="240"/>
      <c r="B8" s="300"/>
      <c r="C8" s="284"/>
      <c r="D8" s="284"/>
    </row>
    <row r="9" spans="1:4" ht="12.75" customHeight="1" outlineLevel="1" x14ac:dyDescent="0.3">
      <c r="A9" s="216" t="s">
        <v>445</v>
      </c>
      <c r="B9" s="216"/>
      <c r="C9" s="217">
        <f>+C6+C7</f>
        <v>878850</v>
      </c>
      <c r="D9" s="217">
        <f>+D6+D7</f>
        <v>0</v>
      </c>
    </row>
    <row r="11" spans="1:4" ht="12.75" hidden="1" customHeight="1" outlineLevel="1" x14ac:dyDescent="0.3">
      <c r="A11" s="209" t="s">
        <v>741</v>
      </c>
    </row>
    <row r="12" spans="1:4" ht="12.75" hidden="1" customHeight="1" outlineLevel="1" x14ac:dyDescent="0.3">
      <c r="A12" s="401" t="s">
        <v>424</v>
      </c>
      <c r="B12" s="401"/>
      <c r="C12" s="401">
        <f>[2]Parâmetros!$F$5</f>
        <v>2012</v>
      </c>
      <c r="D12" s="401">
        <f>[2]Parâmetros!$F$6</f>
        <v>2011</v>
      </c>
    </row>
    <row r="13" spans="1:4" ht="12.75" hidden="1" customHeight="1" outlineLevel="1" x14ac:dyDescent="0.3">
      <c r="A13" s="402"/>
      <c r="B13" s="402"/>
      <c r="C13" s="402"/>
      <c r="D13" s="402"/>
    </row>
    <row r="14" spans="1:4" ht="12.75" hidden="1" customHeight="1" outlineLevel="1" x14ac:dyDescent="0.3">
      <c r="A14" s="260" t="s">
        <v>742</v>
      </c>
      <c r="B14" s="212"/>
      <c r="C14" s="213"/>
      <c r="D14" s="213"/>
    </row>
    <row r="15" spans="1:4" ht="12.75" hidden="1" customHeight="1" outlineLevel="1" x14ac:dyDescent="0.3">
      <c r="A15" s="287" t="s">
        <v>743</v>
      </c>
      <c r="B15" s="214"/>
      <c r="C15" s="215"/>
      <c r="D15" s="215"/>
    </row>
    <row r="16" spans="1:4" ht="12.75" hidden="1" customHeight="1" outlineLevel="1" x14ac:dyDescent="0.3">
      <c r="A16" s="240"/>
      <c r="B16" s="214"/>
      <c r="C16" s="215"/>
      <c r="D16" s="215"/>
    </row>
    <row r="17" spans="1:4" ht="12.75" hidden="1" customHeight="1" outlineLevel="1" x14ac:dyDescent="0.3">
      <c r="A17" s="240" t="s">
        <v>744</v>
      </c>
      <c r="B17" s="214"/>
      <c r="C17" s="215"/>
      <c r="D17" s="215"/>
    </row>
    <row r="18" spans="1:4" ht="12.75" hidden="1" customHeight="1" outlineLevel="1" x14ac:dyDescent="0.3">
      <c r="A18" s="287" t="s">
        <v>743</v>
      </c>
      <c r="B18" s="214"/>
      <c r="C18" s="215"/>
      <c r="D18" s="215"/>
    </row>
    <row r="19" spans="1:4" ht="12.75" hidden="1" customHeight="1" outlineLevel="1" x14ac:dyDescent="0.3">
      <c r="A19" s="220" t="s">
        <v>445</v>
      </c>
      <c r="B19" s="220"/>
      <c r="C19" s="221">
        <f>SUM(C14:C18)</f>
        <v>0</v>
      </c>
      <c r="D19" s="221">
        <f>SUM(D14:D18)</f>
        <v>0</v>
      </c>
    </row>
    <row r="20" spans="1:4" ht="12.75" customHeight="1" collapsed="1" x14ac:dyDescent="0.3"/>
  </sheetData>
  <mergeCells count="8">
    <mergeCell ref="A4:A5"/>
    <mergeCell ref="B4:B5"/>
    <mergeCell ref="C4:C5"/>
    <mergeCell ref="D4:D5"/>
    <mergeCell ref="A12:A13"/>
    <mergeCell ref="B12:B13"/>
    <mergeCell ref="C12:C13"/>
    <mergeCell ref="D12:D13"/>
  </mergeCells>
  <pageMargins left="0.75" right="0.75" top="1" bottom="1" header="0" footer="0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workbookViewId="0">
      <selection activeCell="D18" sqref="D18"/>
    </sheetView>
  </sheetViews>
  <sheetFormatPr defaultRowHeight="12.75" customHeight="1" outlineLevelRow="1" x14ac:dyDescent="0.15"/>
  <cols>
    <col min="1" max="1" width="28.5703125" style="244" customWidth="1"/>
    <col min="2" max="2" width="0" style="244" hidden="1" customWidth="1"/>
    <col min="3" max="4" width="12.7109375" style="244" customWidth="1"/>
    <col min="5" max="16384" width="9.140625" style="244"/>
  </cols>
  <sheetData>
    <row r="1" spans="1:11" ht="12.75" customHeight="1" x14ac:dyDescent="0.25">
      <c r="A1" s="280" t="s">
        <v>745</v>
      </c>
      <c r="B1" s="281"/>
      <c r="C1" s="281"/>
    </row>
    <row r="2" spans="1:11" ht="12.75" customHeight="1" x14ac:dyDescent="0.25">
      <c r="A2" s="281"/>
      <c r="B2" s="281"/>
      <c r="C2" s="281"/>
    </row>
    <row r="3" spans="1:11" ht="12.75" customHeight="1" outlineLevel="1" x14ac:dyDescent="0.25">
      <c r="A3" s="280" t="s">
        <v>746</v>
      </c>
      <c r="B3" s="281"/>
      <c r="C3" s="281"/>
    </row>
    <row r="4" spans="1:11" ht="12.75" customHeight="1" outlineLevel="1" x14ac:dyDescent="0.15">
      <c r="A4" s="495" t="s">
        <v>424</v>
      </c>
      <c r="B4" s="496"/>
      <c r="C4" s="496">
        <f>[2]Parâmetros!$F$5</f>
        <v>2012</v>
      </c>
      <c r="D4" s="497">
        <f>[2]Parâmetros!$F$6</f>
        <v>2011</v>
      </c>
    </row>
    <row r="5" spans="1:11" ht="12.75" customHeight="1" outlineLevel="1" x14ac:dyDescent="0.15">
      <c r="A5" s="485"/>
      <c r="B5" s="487"/>
      <c r="C5" s="487"/>
      <c r="D5" s="490"/>
    </row>
    <row r="6" spans="1:11" ht="12.75" customHeight="1" outlineLevel="1" x14ac:dyDescent="0.15">
      <c r="A6" s="247" t="s">
        <v>747</v>
      </c>
      <c r="B6" s="245">
        <v>631</v>
      </c>
      <c r="C6" s="265">
        <v>0</v>
      </c>
      <c r="D6" s="265">
        <v>0</v>
      </c>
    </row>
    <row r="7" spans="1:11" ht="12.75" customHeight="1" outlineLevel="1" x14ac:dyDescent="0.15">
      <c r="A7" s="247" t="s">
        <v>309</v>
      </c>
      <c r="B7" s="245">
        <v>632</v>
      </c>
      <c r="C7" s="265">
        <v>0</v>
      </c>
      <c r="D7" s="265">
        <v>0</v>
      </c>
    </row>
    <row r="8" spans="1:11" ht="12.75" customHeight="1" outlineLevel="1" x14ac:dyDescent="0.15">
      <c r="A8" s="247" t="s">
        <v>748</v>
      </c>
      <c r="B8" s="245">
        <v>633</v>
      </c>
      <c r="C8" s="265">
        <v>0</v>
      </c>
      <c r="D8" s="265">
        <v>0</v>
      </c>
    </row>
    <row r="9" spans="1:11" ht="12.75" customHeight="1" outlineLevel="1" x14ac:dyDescent="0.25">
      <c r="A9" s="247" t="s">
        <v>749</v>
      </c>
      <c r="B9" s="245">
        <v>634</v>
      </c>
      <c r="C9" s="265">
        <v>0</v>
      </c>
      <c r="D9" s="265">
        <v>0</v>
      </c>
      <c r="I9" s="280"/>
      <c r="J9" s="281"/>
      <c r="K9" s="281"/>
    </row>
    <row r="10" spans="1:11" ht="12.75" customHeight="1" outlineLevel="1" x14ac:dyDescent="0.25">
      <c r="A10" s="247" t="s">
        <v>750</v>
      </c>
      <c r="B10" s="245">
        <v>638</v>
      </c>
      <c r="C10" s="265">
        <v>0</v>
      </c>
      <c r="D10" s="265">
        <v>0</v>
      </c>
      <c r="I10" s="281"/>
      <c r="J10" s="281"/>
      <c r="K10" s="281"/>
    </row>
    <row r="11" spans="1:11" ht="12.75" customHeight="1" outlineLevel="1" x14ac:dyDescent="0.25">
      <c r="A11" s="247"/>
      <c r="B11" s="245"/>
      <c r="C11" s="265"/>
      <c r="D11" s="265"/>
      <c r="I11" s="281"/>
      <c r="J11" s="281"/>
      <c r="K11" s="281"/>
    </row>
    <row r="12" spans="1:11" ht="12.75" customHeight="1" outlineLevel="1" x14ac:dyDescent="0.25">
      <c r="A12" s="266" t="s">
        <v>445</v>
      </c>
      <c r="B12" s="266"/>
      <c r="C12" s="267">
        <f>SUM(C6:C10)</f>
        <v>0</v>
      </c>
      <c r="D12" s="267">
        <f>SUM(D6:D10)</f>
        <v>0</v>
      </c>
      <c r="I12" s="280"/>
      <c r="J12" s="281"/>
      <c r="K12" s="281"/>
    </row>
    <row r="13" spans="1:11" ht="12.75" customHeight="1" outlineLevel="1" x14ac:dyDescent="0.15"/>
    <row r="14" spans="1:11" ht="12.75" customHeight="1" outlineLevel="1" x14ac:dyDescent="0.15">
      <c r="A14" s="301" t="s">
        <v>751</v>
      </c>
    </row>
    <row r="15" spans="1:11" ht="12.75" customHeight="1" outlineLevel="1" x14ac:dyDescent="0.15">
      <c r="A15" s="301" t="s">
        <v>752</v>
      </c>
    </row>
    <row r="16" spans="1:11" ht="12.75" customHeight="1" outlineLevel="1" x14ac:dyDescent="0.15">
      <c r="A16" s="301" t="s">
        <v>753</v>
      </c>
    </row>
    <row r="17" spans="1:1" ht="12.75" customHeight="1" outlineLevel="1" x14ac:dyDescent="0.15">
      <c r="A17" s="302" t="s">
        <v>754</v>
      </c>
    </row>
    <row r="18" spans="1:1" ht="12.75" customHeight="1" outlineLevel="1" x14ac:dyDescent="0.15">
      <c r="A18" s="302" t="s">
        <v>755</v>
      </c>
    </row>
    <row r="19" spans="1:1" ht="12.75" customHeight="1" outlineLevel="1" x14ac:dyDescent="0.15"/>
    <row r="20" spans="1:1" ht="12.75" customHeight="1" outlineLevel="1" x14ac:dyDescent="0.15">
      <c r="A20" s="301" t="s">
        <v>756</v>
      </c>
    </row>
    <row r="21" spans="1:1" ht="12.75" customHeight="1" outlineLevel="1" x14ac:dyDescent="0.15">
      <c r="A21" s="301" t="s">
        <v>752</v>
      </c>
    </row>
    <row r="22" spans="1:1" ht="12.75" customHeight="1" outlineLevel="1" x14ac:dyDescent="0.15">
      <c r="A22" s="301" t="s">
        <v>753</v>
      </c>
    </row>
    <row r="23" spans="1:1" ht="12.75" customHeight="1" outlineLevel="1" x14ac:dyDescent="0.15">
      <c r="A23" s="302" t="s">
        <v>754</v>
      </c>
    </row>
    <row r="24" spans="1:1" ht="12.75" customHeight="1" outlineLevel="1" x14ac:dyDescent="0.15">
      <c r="A24" s="302" t="s">
        <v>755</v>
      </c>
    </row>
  </sheetData>
  <mergeCells count="4">
    <mergeCell ref="A4:A5"/>
    <mergeCell ref="B4:B5"/>
    <mergeCell ref="C4:C5"/>
    <mergeCell ref="D4:D5"/>
  </mergeCells>
  <pageMargins left="0.75" right="0.75" top="1" bottom="1" header="0" footer="0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selection activeCell="E15" sqref="E15"/>
    </sheetView>
  </sheetViews>
  <sheetFormatPr defaultRowHeight="12.75" customHeight="1" outlineLevelRow="1" x14ac:dyDescent="0.15"/>
  <cols>
    <col min="1" max="1" width="27" style="244" customWidth="1"/>
    <col min="2" max="2" width="0" style="244" hidden="1" customWidth="1"/>
    <col min="3" max="3" width="14.28515625" style="244" customWidth="1"/>
    <col min="4" max="4" width="13.85546875" style="244" bestFit="1" customWidth="1"/>
    <col min="5" max="5" width="10" style="244" customWidth="1"/>
    <col min="6" max="6" width="15" style="244" bestFit="1" customWidth="1"/>
    <col min="7" max="16384" width="9.140625" style="244"/>
  </cols>
  <sheetData>
    <row r="1" spans="1:6" ht="12.75" customHeight="1" outlineLevel="1" x14ac:dyDescent="0.15">
      <c r="A1" s="243" t="s">
        <v>757</v>
      </c>
    </row>
    <row r="2" spans="1:6" ht="12.75" customHeight="1" outlineLevel="1" x14ac:dyDescent="0.15">
      <c r="A2" s="500" t="s">
        <v>424</v>
      </c>
      <c r="B2" s="503"/>
      <c r="C2" s="503" t="s">
        <v>758</v>
      </c>
      <c r="D2" s="503" t="s">
        <v>454</v>
      </c>
      <c r="E2" s="503" t="s">
        <v>759</v>
      </c>
      <c r="F2" s="498" t="s">
        <v>760</v>
      </c>
    </row>
    <row r="3" spans="1:6" ht="12.75" customHeight="1" outlineLevel="1" x14ac:dyDescent="0.15">
      <c r="A3" s="501"/>
      <c r="B3" s="448"/>
      <c r="C3" s="448"/>
      <c r="D3" s="448"/>
      <c r="E3" s="448"/>
      <c r="F3" s="499"/>
    </row>
    <row r="4" spans="1:6" ht="12.75" customHeight="1" outlineLevel="1" x14ac:dyDescent="0.15">
      <c r="A4" s="502"/>
      <c r="B4" s="448"/>
      <c r="C4" s="448"/>
      <c r="D4" s="448"/>
      <c r="E4" s="448"/>
      <c r="F4" s="499"/>
    </row>
    <row r="5" spans="1:6" ht="12.75" customHeight="1" outlineLevel="1" x14ac:dyDescent="0.15">
      <c r="A5" s="247" t="s">
        <v>572</v>
      </c>
      <c r="B5" s="264">
        <v>23</v>
      </c>
      <c r="C5" s="265">
        <v>0</v>
      </c>
      <c r="D5" s="265">
        <v>0</v>
      </c>
      <c r="E5" s="265">
        <v>0</v>
      </c>
      <c r="F5" s="265">
        <f>+E5+C5+D5</f>
        <v>0</v>
      </c>
    </row>
    <row r="6" spans="1:6" ht="12.75" customHeight="1" outlineLevel="1" x14ac:dyDescent="0.15">
      <c r="A6" s="247" t="s">
        <v>574</v>
      </c>
      <c r="B6" s="264">
        <v>24</v>
      </c>
      <c r="C6" s="265">
        <v>0</v>
      </c>
      <c r="D6" s="265">
        <v>0</v>
      </c>
      <c r="E6" s="265">
        <v>0</v>
      </c>
      <c r="F6" s="265">
        <f>+E6-C6-D6</f>
        <v>0</v>
      </c>
    </row>
    <row r="7" spans="1:6" ht="12.75" customHeight="1" outlineLevel="1" x14ac:dyDescent="0.15">
      <c r="A7" s="247" t="s">
        <v>761</v>
      </c>
      <c r="B7" s="245">
        <v>25</v>
      </c>
      <c r="C7" s="265">
        <v>0</v>
      </c>
      <c r="D7" s="246">
        <v>0</v>
      </c>
      <c r="E7" s="265">
        <v>0</v>
      </c>
      <c r="F7" s="265">
        <f>+E7-C7-D7</f>
        <v>0</v>
      </c>
    </row>
    <row r="8" spans="1:6" ht="12.75" customHeight="1" outlineLevel="1" x14ac:dyDescent="0.15">
      <c r="A8" s="247"/>
      <c r="B8" s="245"/>
      <c r="C8" s="265"/>
      <c r="D8" s="246"/>
      <c r="E8" s="265"/>
      <c r="F8" s="265"/>
    </row>
    <row r="9" spans="1:6" ht="12.75" customHeight="1" outlineLevel="1" x14ac:dyDescent="0.3">
      <c r="A9" s="216" t="s">
        <v>445</v>
      </c>
      <c r="B9" s="216"/>
      <c r="C9" s="217">
        <f>SUM(C5:C7)</f>
        <v>0</v>
      </c>
      <c r="D9" s="217">
        <f t="shared" ref="D9:F9" si="0">SUM(D5:D7)</f>
        <v>0</v>
      </c>
      <c r="E9" s="217">
        <f t="shared" si="0"/>
        <v>0</v>
      </c>
      <c r="F9" s="217">
        <f t="shared" si="0"/>
        <v>0</v>
      </c>
    </row>
  </sheetData>
  <mergeCells count="6">
    <mergeCell ref="F2:F4"/>
    <mergeCell ref="A2:A4"/>
    <mergeCell ref="B2:B4"/>
    <mergeCell ref="C2:C4"/>
    <mergeCell ref="D2:D4"/>
    <mergeCell ref="E2:E4"/>
  </mergeCells>
  <pageMargins left="0.75" right="0.75" top="1" bottom="1" header="0" footer="0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workbookViewId="0">
      <selection activeCell="H20" sqref="H20"/>
    </sheetView>
  </sheetViews>
  <sheetFormatPr defaultRowHeight="12.75" customHeight="1" outlineLevelRow="1" x14ac:dyDescent="0.15"/>
  <cols>
    <col min="1" max="1" width="27.140625" style="244" customWidth="1"/>
    <col min="2" max="2" width="0" style="244" hidden="1" customWidth="1"/>
    <col min="3" max="4" width="13.5703125" style="244" customWidth="1"/>
    <col min="5" max="16384" width="9.140625" style="244"/>
  </cols>
  <sheetData>
    <row r="1" spans="1:4" ht="12.75" customHeight="1" outlineLevel="1" x14ac:dyDescent="0.15">
      <c r="A1" s="243" t="s">
        <v>762</v>
      </c>
    </row>
    <row r="2" spans="1:4" ht="12.75" customHeight="1" outlineLevel="1" x14ac:dyDescent="0.15">
      <c r="A2" s="470" t="s">
        <v>424</v>
      </c>
      <c r="B2" s="496"/>
      <c r="C2" s="496">
        <f>[2]Parâmetros!$F$5</f>
        <v>2012</v>
      </c>
      <c r="D2" s="468">
        <f>[2]Parâmetros!$F$6</f>
        <v>2011</v>
      </c>
    </row>
    <row r="3" spans="1:4" ht="12.75" customHeight="1" outlineLevel="1" x14ac:dyDescent="0.15">
      <c r="A3" s="504"/>
      <c r="B3" s="487"/>
      <c r="C3" s="487"/>
      <c r="D3" s="505"/>
    </row>
    <row r="4" spans="1:4" ht="12.75" customHeight="1" outlineLevel="1" x14ac:dyDescent="0.15">
      <c r="A4" s="247" t="s">
        <v>763</v>
      </c>
      <c r="B4" s="245"/>
      <c r="C4" s="246">
        <f>SUM(C6:C8)</f>
        <v>0</v>
      </c>
      <c r="D4" s="246">
        <f>SUM(D6:D8)</f>
        <v>0</v>
      </c>
    </row>
    <row r="5" spans="1:4" ht="12.75" customHeight="1" outlineLevel="1" x14ac:dyDescent="0.15">
      <c r="A5" s="247"/>
      <c r="B5" s="245"/>
      <c r="C5" s="246"/>
      <c r="D5" s="246"/>
    </row>
    <row r="6" spans="1:4" ht="12.75" customHeight="1" outlineLevel="1" x14ac:dyDescent="0.15">
      <c r="A6" s="247" t="s">
        <v>764</v>
      </c>
      <c r="B6" s="245">
        <v>6511</v>
      </c>
      <c r="C6" s="265">
        <v>0</v>
      </c>
      <c r="D6" s="265">
        <v>0</v>
      </c>
    </row>
    <row r="7" spans="1:4" ht="12.75" customHeight="1" outlineLevel="1" x14ac:dyDescent="0.15">
      <c r="A7" s="247" t="s">
        <v>765</v>
      </c>
      <c r="B7" s="245">
        <v>6512</v>
      </c>
      <c r="C7" s="265">
        <v>0</v>
      </c>
      <c r="D7" s="265">
        <v>0</v>
      </c>
    </row>
    <row r="8" spans="1:4" ht="12.75" customHeight="1" outlineLevel="1" x14ac:dyDescent="0.15">
      <c r="A8" s="247" t="s">
        <v>766</v>
      </c>
      <c r="B8" s="245">
        <v>6513</v>
      </c>
      <c r="C8" s="265">
        <v>0</v>
      </c>
      <c r="D8" s="265">
        <v>0</v>
      </c>
    </row>
    <row r="9" spans="1:4" ht="12.75" customHeight="1" outlineLevel="1" x14ac:dyDescent="0.15">
      <c r="A9" s="247"/>
      <c r="B9" s="245"/>
      <c r="C9" s="246"/>
      <c r="D9" s="246"/>
    </row>
    <row r="10" spans="1:4" ht="12.75" customHeight="1" outlineLevel="1" x14ac:dyDescent="0.15">
      <c r="A10" s="247" t="s">
        <v>767</v>
      </c>
      <c r="B10" s="245"/>
      <c r="C10" s="246">
        <v>0</v>
      </c>
      <c r="D10" s="246">
        <v>0</v>
      </c>
    </row>
    <row r="11" spans="1:4" ht="12.75" customHeight="1" outlineLevel="1" x14ac:dyDescent="0.15">
      <c r="A11" s="247" t="s">
        <v>768</v>
      </c>
      <c r="B11" s="245">
        <v>652</v>
      </c>
      <c r="C11" s="265">
        <v>0</v>
      </c>
      <c r="D11" s="265">
        <v>0</v>
      </c>
    </row>
    <row r="12" spans="1:4" ht="12.75" customHeight="1" outlineLevel="1" x14ac:dyDescent="0.15">
      <c r="A12" s="247"/>
      <c r="B12" s="245"/>
      <c r="C12" s="265"/>
      <c r="D12" s="265"/>
    </row>
    <row r="13" spans="1:4" ht="12.75" customHeight="1" outlineLevel="1" x14ac:dyDescent="0.15">
      <c r="A13" s="266" t="s">
        <v>445</v>
      </c>
      <c r="B13" s="266"/>
      <c r="C13" s="267">
        <f>+C11+C10+C4</f>
        <v>0</v>
      </c>
      <c r="D13" s="267">
        <f>+D11+D10+D4</f>
        <v>0</v>
      </c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selection activeCell="D17" sqref="D17"/>
    </sheetView>
  </sheetViews>
  <sheetFormatPr defaultRowHeight="12.75" customHeight="1" outlineLevelRow="1" x14ac:dyDescent="0.3"/>
  <cols>
    <col min="1" max="1" width="32.85546875" style="210" customWidth="1"/>
    <col min="2" max="2" width="11.7109375" style="210" hidden="1" customWidth="1"/>
    <col min="3" max="3" width="14.28515625" style="210" customWidth="1"/>
    <col min="4" max="4" width="14.42578125" style="210" customWidth="1"/>
    <col min="5" max="5" width="13.140625" style="210" customWidth="1"/>
    <col min="6" max="6" width="14.85546875" style="210" customWidth="1"/>
    <col min="7" max="7" width="14.140625" style="210" customWidth="1"/>
    <col min="8" max="8" width="10.42578125" style="210" bestFit="1" customWidth="1"/>
    <col min="9" max="16384" width="9.140625" style="210"/>
  </cols>
  <sheetData>
    <row r="1" spans="1:7" ht="12.75" customHeight="1" outlineLevel="1" x14ac:dyDescent="0.35">
      <c r="A1" s="238" t="s">
        <v>769</v>
      </c>
      <c r="B1" s="239"/>
      <c r="C1" s="239"/>
      <c r="D1" s="239"/>
      <c r="E1" s="239"/>
      <c r="F1" s="239"/>
    </row>
    <row r="2" spans="1:7" ht="12.75" customHeight="1" outlineLevel="1" x14ac:dyDescent="0.3">
      <c r="A2" s="480" t="s">
        <v>424</v>
      </c>
      <c r="B2" s="481"/>
      <c r="C2" s="481" t="s">
        <v>758</v>
      </c>
      <c r="D2" s="481" t="s">
        <v>770</v>
      </c>
      <c r="E2" s="481" t="s">
        <v>771</v>
      </c>
      <c r="F2" s="481" t="s">
        <v>759</v>
      </c>
      <c r="G2" s="479" t="s">
        <v>772</v>
      </c>
    </row>
    <row r="3" spans="1:7" ht="12.75" customHeight="1" outlineLevel="1" x14ac:dyDescent="0.3">
      <c r="A3" s="437"/>
      <c r="B3" s="427"/>
      <c r="C3" s="427"/>
      <c r="D3" s="427"/>
      <c r="E3" s="427"/>
      <c r="F3" s="427"/>
      <c r="G3" s="435"/>
    </row>
    <row r="4" spans="1:7" ht="12.75" customHeight="1" outlineLevel="1" x14ac:dyDescent="0.3">
      <c r="A4" s="434"/>
      <c r="B4" s="427"/>
      <c r="C4" s="427"/>
      <c r="D4" s="427"/>
      <c r="E4" s="427"/>
      <c r="F4" s="427"/>
      <c r="G4" s="435"/>
    </row>
    <row r="5" spans="1:7" ht="12.75" customHeight="1" outlineLevel="1" x14ac:dyDescent="0.3">
      <c r="A5" s="240" t="s">
        <v>570</v>
      </c>
      <c r="B5" s="303" t="s">
        <v>773</v>
      </c>
      <c r="C5" s="284">
        <v>0</v>
      </c>
      <c r="D5" s="284">
        <v>0</v>
      </c>
      <c r="E5" s="284">
        <v>0</v>
      </c>
      <c r="F5" s="284">
        <v>0</v>
      </c>
      <c r="G5" s="284">
        <f>+C5+D5-E5-F5</f>
        <v>0</v>
      </c>
    </row>
    <row r="6" spans="1:7" ht="12.75" customHeight="1" outlineLevel="1" x14ac:dyDescent="0.3">
      <c r="A6" s="240" t="s">
        <v>774</v>
      </c>
      <c r="B6" s="303" t="s">
        <v>775</v>
      </c>
      <c r="C6" s="284">
        <v>0</v>
      </c>
      <c r="D6" s="284">
        <v>0</v>
      </c>
      <c r="E6" s="284">
        <v>0</v>
      </c>
      <c r="F6" s="284">
        <v>0</v>
      </c>
      <c r="G6" s="284">
        <f>C6+D6-F6-E6</f>
        <v>0</v>
      </c>
    </row>
    <row r="7" spans="1:7" ht="12.75" customHeight="1" outlineLevel="1" x14ac:dyDescent="0.3">
      <c r="A7" s="240" t="s">
        <v>776</v>
      </c>
      <c r="B7" s="303"/>
      <c r="C7" s="284"/>
      <c r="D7" s="284"/>
      <c r="E7" s="284"/>
      <c r="F7" s="284"/>
      <c r="G7" s="284"/>
    </row>
    <row r="8" spans="1:7" ht="12.75" customHeight="1" outlineLevel="1" x14ac:dyDescent="0.3">
      <c r="A8" s="240"/>
      <c r="B8" s="303"/>
      <c r="C8" s="284"/>
      <c r="D8" s="284"/>
      <c r="E8" s="284"/>
      <c r="F8" s="284"/>
      <c r="G8" s="284"/>
    </row>
    <row r="9" spans="1:7" ht="12.75" customHeight="1" outlineLevel="1" x14ac:dyDescent="0.3">
      <c r="A9" s="216" t="s">
        <v>445</v>
      </c>
      <c r="B9" s="216"/>
      <c r="C9" s="217">
        <f>SUM(C5:C7)</f>
        <v>0</v>
      </c>
      <c r="D9" s="217">
        <f>SUM(D5:D7)</f>
        <v>0</v>
      </c>
      <c r="E9" s="217">
        <f>SUM(E5:E7)</f>
        <v>0</v>
      </c>
      <c r="F9" s="217">
        <f>SUM(F5:F7)</f>
        <v>0</v>
      </c>
      <c r="G9" s="217">
        <f>SUM(G5:G6)</f>
        <v>0</v>
      </c>
    </row>
    <row r="13" spans="1:7" ht="12.75" customHeight="1" x14ac:dyDescent="0.3">
      <c r="D13" s="211"/>
    </row>
    <row r="19" spans="1:8" ht="12.75" customHeight="1" x14ac:dyDescent="0.35">
      <c r="A19" s="238"/>
      <c r="B19" s="239"/>
      <c r="C19" s="239"/>
      <c r="D19" s="239"/>
      <c r="E19" s="239"/>
      <c r="F19" s="239"/>
      <c r="H19" s="211"/>
    </row>
  </sheetData>
  <mergeCells count="7">
    <mergeCell ref="G2:G4"/>
    <mergeCell ref="A2:A4"/>
    <mergeCell ref="B2:B4"/>
    <mergeCell ref="C2:C4"/>
    <mergeCell ref="D2:D4"/>
    <mergeCell ref="E2:E4"/>
    <mergeCell ref="F2:F4"/>
  </mergeCells>
  <pageMargins left="0.75" right="0.75" top="1" bottom="1" header="0" footer="0"/>
  <pageSetup paperSize="9"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workbookViewId="0"/>
  </sheetViews>
  <sheetFormatPr defaultRowHeight="12.75" customHeight="1" outlineLevelRow="1" x14ac:dyDescent="0.3"/>
  <cols>
    <col min="1" max="1" width="40.7109375" style="210" customWidth="1"/>
    <col min="2" max="2" width="0" style="210" hidden="1" customWidth="1"/>
    <col min="3" max="3" width="16.140625" style="210" customWidth="1"/>
    <col min="4" max="4" width="17.28515625" style="210" bestFit="1" customWidth="1"/>
    <col min="5" max="16384" width="9.140625" style="210"/>
  </cols>
  <sheetData>
    <row r="1" spans="1:9" ht="12.75" customHeight="1" outlineLevel="1" x14ac:dyDescent="0.3">
      <c r="A1" s="209" t="s">
        <v>777</v>
      </c>
    </row>
    <row r="2" spans="1:9" ht="12.75" customHeight="1" outlineLevel="1" x14ac:dyDescent="0.3">
      <c r="A2" s="482" t="s">
        <v>424</v>
      </c>
      <c r="B2" s="483"/>
      <c r="C2" s="483">
        <v>2015</v>
      </c>
      <c r="D2" s="493">
        <v>2014</v>
      </c>
    </row>
    <row r="3" spans="1:9" ht="12.75" customHeight="1" outlineLevel="1" x14ac:dyDescent="0.3">
      <c r="A3" s="442"/>
      <c r="B3" s="444"/>
      <c r="C3" s="444"/>
      <c r="D3" s="446"/>
    </row>
    <row r="4" spans="1:9" ht="12.75" customHeight="1" outlineLevel="1" x14ac:dyDescent="0.3">
      <c r="A4" s="283" t="s">
        <v>778</v>
      </c>
      <c r="B4" s="283">
        <v>721</v>
      </c>
      <c r="C4" s="284">
        <v>0</v>
      </c>
      <c r="D4" s="284">
        <v>0</v>
      </c>
    </row>
    <row r="5" spans="1:9" ht="12.75" customHeight="1" outlineLevel="1" x14ac:dyDescent="0.3">
      <c r="A5" s="283" t="s">
        <v>779</v>
      </c>
      <c r="B5" s="283">
        <v>723</v>
      </c>
      <c r="C5" s="284">
        <v>200000</v>
      </c>
      <c r="D5" s="284">
        <v>0</v>
      </c>
    </row>
    <row r="6" spans="1:9" ht="12.75" customHeight="1" outlineLevel="1" x14ac:dyDescent="0.3">
      <c r="A6" s="283" t="s">
        <v>252</v>
      </c>
      <c r="B6" s="283">
        <v>724</v>
      </c>
      <c r="C6" s="284">
        <v>0</v>
      </c>
      <c r="D6" s="284">
        <v>0</v>
      </c>
    </row>
    <row r="7" spans="1:9" ht="12.75" customHeight="1" outlineLevel="1" x14ac:dyDescent="0.3">
      <c r="A7" s="283" t="s">
        <v>780</v>
      </c>
      <c r="B7" s="283"/>
      <c r="C7" s="284">
        <v>0</v>
      </c>
      <c r="D7" s="284">
        <v>0</v>
      </c>
    </row>
    <row r="8" spans="1:9" ht="12.75" customHeight="1" outlineLevel="1" x14ac:dyDescent="0.3">
      <c r="A8" s="240" t="s">
        <v>258</v>
      </c>
      <c r="B8" s="214">
        <v>722</v>
      </c>
      <c r="C8" s="284">
        <v>0</v>
      </c>
      <c r="D8" s="284">
        <v>0</v>
      </c>
    </row>
    <row r="9" spans="1:9" ht="12.75" customHeight="1" outlineLevel="1" x14ac:dyDescent="0.3">
      <c r="A9" s="240" t="s">
        <v>256</v>
      </c>
      <c r="B9" s="214"/>
      <c r="C9" s="284">
        <v>0</v>
      </c>
      <c r="D9" s="284">
        <v>0</v>
      </c>
    </row>
    <row r="10" spans="1:9" ht="12.75" customHeight="1" outlineLevel="1" x14ac:dyDescent="0.3">
      <c r="A10" s="240" t="s">
        <v>781</v>
      </c>
      <c r="B10" s="214"/>
      <c r="C10" s="284">
        <v>0</v>
      </c>
      <c r="D10" s="284">
        <v>0</v>
      </c>
    </row>
    <row r="11" spans="1:9" ht="12.75" customHeight="1" outlineLevel="1" x14ac:dyDescent="0.3">
      <c r="A11" s="240" t="s">
        <v>782</v>
      </c>
      <c r="B11" s="214"/>
      <c r="C11" s="284">
        <v>0</v>
      </c>
      <c r="D11" s="284">
        <v>0</v>
      </c>
    </row>
    <row r="12" spans="1:9" ht="12.75" customHeight="1" outlineLevel="1" x14ac:dyDescent="0.3">
      <c r="A12" s="240"/>
      <c r="B12" s="214"/>
      <c r="C12" s="284"/>
      <c r="D12" s="284"/>
    </row>
    <row r="13" spans="1:9" ht="12.75" customHeight="1" outlineLevel="1" x14ac:dyDescent="0.35">
      <c r="A13" s="216" t="s">
        <v>445</v>
      </c>
      <c r="B13" s="216"/>
      <c r="C13" s="217">
        <f>SUM(C4:C11)</f>
        <v>200000</v>
      </c>
      <c r="D13" s="217">
        <f>SUM(D4:D11)</f>
        <v>0</v>
      </c>
      <c r="G13" s="238"/>
      <c r="H13" s="239"/>
      <c r="I13" s="239"/>
    </row>
    <row r="14" spans="1:9" ht="12.75" customHeight="1" outlineLevel="1" x14ac:dyDescent="0.3">
      <c r="A14" s="304"/>
      <c r="B14" s="305"/>
      <c r="C14" s="306"/>
      <c r="D14" s="306"/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GridLines="0" workbookViewId="0">
      <selection activeCell="C7" sqref="C7"/>
    </sheetView>
  </sheetViews>
  <sheetFormatPr defaultRowHeight="12.75" customHeight="1" outlineLevelRow="1" x14ac:dyDescent="0.3"/>
  <cols>
    <col min="1" max="1" width="29.85546875" style="210" customWidth="1"/>
    <col min="2" max="2" width="0" style="210" hidden="1" customWidth="1"/>
    <col min="3" max="4" width="15.42578125" style="210" bestFit="1" customWidth="1"/>
    <col min="5" max="16384" width="9.140625" style="210"/>
  </cols>
  <sheetData>
    <row r="1" spans="1:9" ht="12.75" customHeight="1" outlineLevel="1" x14ac:dyDescent="0.3">
      <c r="A1" s="209" t="s">
        <v>783</v>
      </c>
    </row>
    <row r="2" spans="1:9" ht="12.75" customHeight="1" outlineLevel="1" x14ac:dyDescent="0.3">
      <c r="A2" s="482" t="s">
        <v>424</v>
      </c>
      <c r="B2" s="483"/>
      <c r="C2" s="483">
        <v>2014</v>
      </c>
      <c r="D2" s="493">
        <v>2013</v>
      </c>
    </row>
    <row r="3" spans="1:9" ht="12.75" customHeight="1" outlineLevel="1" x14ac:dyDescent="0.3">
      <c r="A3" s="442"/>
      <c r="B3" s="444"/>
      <c r="C3" s="444"/>
      <c r="D3" s="446"/>
    </row>
    <row r="4" spans="1:9" ht="12.75" customHeight="1" outlineLevel="1" x14ac:dyDescent="0.3">
      <c r="A4" s="283" t="s">
        <v>784</v>
      </c>
      <c r="B4" s="283">
        <v>731</v>
      </c>
      <c r="C4" s="284">
        <v>0</v>
      </c>
      <c r="D4" s="284">
        <v>0</v>
      </c>
    </row>
    <row r="5" spans="1:9" ht="12.75" customHeight="1" outlineLevel="1" x14ac:dyDescent="0.3">
      <c r="A5" s="240" t="s">
        <v>785</v>
      </c>
      <c r="B5" s="214">
        <v>732</v>
      </c>
      <c r="C5" s="284">
        <v>93826.95</v>
      </c>
      <c r="D5" s="284">
        <v>0</v>
      </c>
    </row>
    <row r="6" spans="1:9" ht="12.75" customHeight="1" outlineLevel="1" x14ac:dyDescent="0.3">
      <c r="A6" s="240"/>
      <c r="B6" s="214"/>
      <c r="C6" s="284"/>
      <c r="D6" s="284"/>
    </row>
    <row r="7" spans="1:9" ht="12.75" customHeight="1" outlineLevel="1" x14ac:dyDescent="0.3">
      <c r="A7" s="216" t="s">
        <v>445</v>
      </c>
      <c r="B7" s="216"/>
      <c r="C7" s="217">
        <f>SUM(C4:C5)</f>
        <v>93826.95</v>
      </c>
      <c r="D7" s="217">
        <f>SUM(D4:D5)</f>
        <v>0</v>
      </c>
    </row>
    <row r="9" spans="1:9" ht="12.75" customHeight="1" x14ac:dyDescent="0.35">
      <c r="H9" s="238"/>
      <c r="I9" s="239"/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workbookViewId="0">
      <selection activeCell="A4" sqref="A4"/>
    </sheetView>
  </sheetViews>
  <sheetFormatPr defaultRowHeight="12.75" customHeight="1" outlineLevelRow="1" x14ac:dyDescent="0.3"/>
  <cols>
    <col min="1" max="1" width="40" style="210" bestFit="1" customWidth="1"/>
    <col min="2" max="2" width="8" style="210" hidden="1" customWidth="1"/>
    <col min="3" max="3" width="15.42578125" style="210" bestFit="1" customWidth="1"/>
    <col min="4" max="4" width="17.28515625" style="210" bestFit="1" customWidth="1"/>
    <col min="5" max="16384" width="9.140625" style="210"/>
  </cols>
  <sheetData>
    <row r="1" spans="1:4" ht="12.75" customHeight="1" outlineLevel="1" x14ac:dyDescent="0.3">
      <c r="A1" s="209" t="s">
        <v>786</v>
      </c>
    </row>
    <row r="2" spans="1:4" ht="12.75" customHeight="1" outlineLevel="1" x14ac:dyDescent="0.3">
      <c r="A2" s="482" t="s">
        <v>424</v>
      </c>
      <c r="B2" s="483"/>
      <c r="C2" s="483">
        <v>2015</v>
      </c>
      <c r="D2" s="493">
        <v>2014</v>
      </c>
    </row>
    <row r="3" spans="1:4" ht="12.75" customHeight="1" outlineLevel="1" x14ac:dyDescent="0.3">
      <c r="A3" s="442"/>
      <c r="B3" s="444"/>
      <c r="C3" s="444"/>
      <c r="D3" s="446"/>
    </row>
    <row r="4" spans="1:4" ht="12.75" customHeight="1" outlineLevel="1" x14ac:dyDescent="0.3">
      <c r="A4" s="240" t="s">
        <v>787</v>
      </c>
      <c r="B4" s="214">
        <v>751</v>
      </c>
      <c r="C4" s="284">
        <v>0</v>
      </c>
      <c r="D4" s="284">
        <v>0</v>
      </c>
    </row>
    <row r="5" spans="1:4" ht="12.75" customHeight="1" outlineLevel="1" x14ac:dyDescent="0.3">
      <c r="A5" s="240" t="s">
        <v>168</v>
      </c>
      <c r="B5" s="214">
        <v>752</v>
      </c>
      <c r="C5" s="284">
        <v>378850</v>
      </c>
      <c r="D5" s="284">
        <v>0</v>
      </c>
    </row>
    <row r="6" spans="1:4" ht="12.75" customHeight="1" outlineLevel="1" x14ac:dyDescent="0.3">
      <c r="A6" s="240"/>
      <c r="B6" s="214"/>
      <c r="C6" s="215"/>
      <c r="D6" s="215"/>
    </row>
    <row r="7" spans="1:4" ht="12.75" customHeight="1" outlineLevel="1" x14ac:dyDescent="0.3">
      <c r="A7" s="240" t="s">
        <v>788</v>
      </c>
      <c r="B7" s="214"/>
      <c r="C7" s="215">
        <v>0</v>
      </c>
      <c r="D7" s="215">
        <v>0</v>
      </c>
    </row>
    <row r="8" spans="1:4" ht="12.75" customHeight="1" outlineLevel="1" x14ac:dyDescent="0.3">
      <c r="A8" s="240" t="s">
        <v>789</v>
      </c>
      <c r="B8" s="214"/>
      <c r="C8" s="215">
        <v>0</v>
      </c>
      <c r="D8" s="215">
        <v>0</v>
      </c>
    </row>
    <row r="9" spans="1:4" ht="12.75" customHeight="1" outlineLevel="1" x14ac:dyDescent="0.3">
      <c r="A9" s="240" t="s">
        <v>790</v>
      </c>
      <c r="B9" s="307" t="s">
        <v>791</v>
      </c>
      <c r="C9" s="284">
        <v>0</v>
      </c>
      <c r="D9" s="284">
        <v>0</v>
      </c>
    </row>
    <row r="10" spans="1:4" ht="12.75" customHeight="1" outlineLevel="1" x14ac:dyDescent="0.3">
      <c r="A10" s="240" t="s">
        <v>792</v>
      </c>
      <c r="B10" s="214">
        <v>75235</v>
      </c>
      <c r="C10" s="284">
        <v>0</v>
      </c>
      <c r="D10" s="284">
        <v>0</v>
      </c>
    </row>
    <row r="11" spans="1:4" ht="12.75" customHeight="1" outlineLevel="1" x14ac:dyDescent="0.3">
      <c r="A11" s="240" t="s">
        <v>709</v>
      </c>
      <c r="B11" s="214"/>
      <c r="C11" s="172">
        <f>C5-SUM(C7:C9)</f>
        <v>378850</v>
      </c>
      <c r="D11" s="172">
        <f>D5-SUM(D7:D9)</f>
        <v>0</v>
      </c>
    </row>
    <row r="12" spans="1:4" ht="12.75" customHeight="1" outlineLevel="1" x14ac:dyDescent="0.3">
      <c r="A12" s="240"/>
      <c r="B12" s="214"/>
      <c r="C12" s="215"/>
      <c r="D12" s="215"/>
    </row>
    <row r="13" spans="1:4" ht="12.75" customHeight="1" outlineLevel="1" x14ac:dyDescent="0.3">
      <c r="A13" s="240" t="s">
        <v>171</v>
      </c>
      <c r="B13" s="214">
        <v>753</v>
      </c>
      <c r="C13" s="284">
        <v>0</v>
      </c>
      <c r="D13" s="284">
        <v>0</v>
      </c>
    </row>
    <row r="14" spans="1:4" ht="12.75" customHeight="1" outlineLevel="1" x14ac:dyDescent="0.3">
      <c r="A14" s="240" t="s">
        <v>793</v>
      </c>
      <c r="B14" s="214">
        <v>754</v>
      </c>
      <c r="C14" s="284">
        <v>0</v>
      </c>
      <c r="D14" s="284">
        <v>0</v>
      </c>
    </row>
    <row r="15" spans="1:4" ht="12.75" customHeight="1" outlineLevel="1" x14ac:dyDescent="0.3">
      <c r="A15" s="240" t="s">
        <v>794</v>
      </c>
      <c r="B15" s="214">
        <v>755</v>
      </c>
      <c r="C15" s="284">
        <v>0</v>
      </c>
      <c r="D15" s="284">
        <v>0</v>
      </c>
    </row>
    <row r="16" spans="1:4" ht="12.75" customHeight="1" outlineLevel="1" x14ac:dyDescent="0.3">
      <c r="A16" s="240" t="s">
        <v>795</v>
      </c>
      <c r="B16" s="214">
        <v>756</v>
      </c>
      <c r="C16" s="284">
        <v>0</v>
      </c>
      <c r="D16" s="284">
        <v>0</v>
      </c>
    </row>
    <row r="17" spans="1:4" ht="12.75" customHeight="1" outlineLevel="1" x14ac:dyDescent="0.3">
      <c r="A17" s="240" t="s">
        <v>796</v>
      </c>
      <c r="B17" s="214">
        <v>758</v>
      </c>
      <c r="C17" s="284">
        <v>0</v>
      </c>
      <c r="D17" s="284">
        <v>0</v>
      </c>
    </row>
    <row r="18" spans="1:4" ht="12.75" customHeight="1" outlineLevel="1" x14ac:dyDescent="0.3">
      <c r="A18" s="240"/>
      <c r="B18" s="214"/>
      <c r="C18" s="284"/>
      <c r="D18" s="284"/>
    </row>
    <row r="19" spans="1:4" ht="12.75" customHeight="1" outlineLevel="1" x14ac:dyDescent="0.3">
      <c r="A19" s="216" t="s">
        <v>445</v>
      </c>
      <c r="B19" s="216"/>
      <c r="C19" s="342">
        <f>+C4+C5+SUM(C13:C17)</f>
        <v>378850</v>
      </c>
      <c r="D19" s="342">
        <f>+D4+D5+SUM(D13:D17)</f>
        <v>0</v>
      </c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showGridLines="0" workbookViewId="0">
      <selection activeCell="C26" sqref="C26"/>
    </sheetView>
  </sheetViews>
  <sheetFormatPr defaultRowHeight="12.75" customHeight="1" outlineLevelRow="1" x14ac:dyDescent="0.3"/>
  <cols>
    <col min="1" max="1" width="36.28515625" style="210" customWidth="1"/>
    <col min="2" max="2" width="12.140625" style="210" hidden="1" customWidth="1"/>
    <col min="3" max="3" width="15.140625" style="210" bestFit="1" customWidth="1"/>
    <col min="4" max="4" width="15.7109375" style="210" customWidth="1"/>
    <col min="5" max="16384" width="9.140625" style="210"/>
  </cols>
  <sheetData>
    <row r="1" spans="1:4" ht="12.75" customHeight="1" outlineLevel="1" x14ac:dyDescent="0.3">
      <c r="A1" s="209" t="s">
        <v>797</v>
      </c>
    </row>
    <row r="2" spans="1:4" ht="12.75" customHeight="1" outlineLevel="1" x14ac:dyDescent="0.3">
      <c r="A2" s="482" t="s">
        <v>424</v>
      </c>
      <c r="B2" s="483"/>
      <c r="C2" s="483">
        <v>2014</v>
      </c>
      <c r="D2" s="493">
        <v>2013</v>
      </c>
    </row>
    <row r="3" spans="1:4" ht="12.75" customHeight="1" outlineLevel="1" x14ac:dyDescent="0.3">
      <c r="A3" s="442"/>
      <c r="B3" s="444"/>
      <c r="C3" s="444"/>
      <c r="D3" s="446"/>
    </row>
    <row r="4" spans="1:4" s="209" customFormat="1" ht="12.75" customHeight="1" outlineLevel="1" x14ac:dyDescent="0.3">
      <c r="A4" s="282" t="s">
        <v>798</v>
      </c>
      <c r="B4" s="308"/>
      <c r="C4" s="285">
        <f>+C7+C9+C12+C15+C18+C23+C26+C24</f>
        <v>0</v>
      </c>
      <c r="D4" s="285">
        <f>+D7+D9+D12+D15+D18+D23+D25</f>
        <v>0</v>
      </c>
    </row>
    <row r="5" spans="1:4" ht="12.75" customHeight="1" outlineLevel="1" x14ac:dyDescent="0.3">
      <c r="A5" s="240"/>
      <c r="B5" s="214"/>
      <c r="C5" s="215"/>
      <c r="D5" s="215"/>
    </row>
    <row r="6" spans="1:4" ht="12.75" customHeight="1" outlineLevel="1" x14ac:dyDescent="0.3">
      <c r="A6" s="240" t="s">
        <v>799</v>
      </c>
      <c r="B6" s="214">
        <v>661</v>
      </c>
      <c r="C6" s="284">
        <v>0</v>
      </c>
      <c r="D6" s="284">
        <v>0</v>
      </c>
    </row>
    <row r="7" spans="1:4" ht="12.75" customHeight="1" outlineLevel="1" x14ac:dyDescent="0.3">
      <c r="A7" s="309" t="s">
        <v>800</v>
      </c>
      <c r="B7" s="214">
        <v>6611</v>
      </c>
      <c r="C7" s="284">
        <v>0</v>
      </c>
      <c r="D7" s="284">
        <v>0</v>
      </c>
    </row>
    <row r="8" spans="1:4" ht="12.75" customHeight="1" outlineLevel="1" x14ac:dyDescent="0.3">
      <c r="A8" s="309" t="s">
        <v>801</v>
      </c>
      <c r="B8" s="214"/>
      <c r="C8" s="215">
        <v>0</v>
      </c>
      <c r="D8" s="215">
        <v>0</v>
      </c>
    </row>
    <row r="9" spans="1:4" ht="12.75" customHeight="1" outlineLevel="1" x14ac:dyDescent="0.3">
      <c r="A9" s="310" t="s">
        <v>802</v>
      </c>
      <c r="B9" s="214">
        <v>664</v>
      </c>
      <c r="C9" s="284">
        <v>0</v>
      </c>
      <c r="D9" s="284">
        <v>0</v>
      </c>
    </row>
    <row r="10" spans="1:4" ht="12.75" customHeight="1" outlineLevel="1" x14ac:dyDescent="0.3">
      <c r="A10" s="309" t="s">
        <v>800</v>
      </c>
      <c r="B10" s="214">
        <v>6641</v>
      </c>
      <c r="C10" s="284">
        <v>0</v>
      </c>
      <c r="D10" s="284">
        <v>0</v>
      </c>
    </row>
    <row r="11" spans="1:4" ht="12.75" customHeight="1" outlineLevel="1" x14ac:dyDescent="0.3">
      <c r="A11" s="309" t="s">
        <v>801</v>
      </c>
      <c r="B11" s="214"/>
      <c r="C11" s="215">
        <v>0</v>
      </c>
      <c r="D11" s="215">
        <v>0</v>
      </c>
    </row>
    <row r="12" spans="1:4" ht="12.75" customHeight="1" outlineLevel="1" x14ac:dyDescent="0.3">
      <c r="A12" s="310" t="s">
        <v>803</v>
      </c>
      <c r="B12" s="214">
        <v>665</v>
      </c>
      <c r="C12" s="284">
        <v>0</v>
      </c>
      <c r="D12" s="284">
        <v>0</v>
      </c>
    </row>
    <row r="13" spans="1:4" ht="12.75" customHeight="1" outlineLevel="1" x14ac:dyDescent="0.3">
      <c r="A13" s="309" t="s">
        <v>800</v>
      </c>
      <c r="B13" s="214">
        <v>6651</v>
      </c>
      <c r="C13" s="284">
        <v>0</v>
      </c>
      <c r="D13" s="284">
        <v>0</v>
      </c>
    </row>
    <row r="14" spans="1:4" ht="12.75" customHeight="1" outlineLevel="1" x14ac:dyDescent="0.3">
      <c r="A14" s="309" t="s">
        <v>801</v>
      </c>
      <c r="B14" s="214"/>
      <c r="C14" s="215">
        <v>0</v>
      </c>
      <c r="D14" s="215">
        <v>0</v>
      </c>
    </row>
    <row r="15" spans="1:4" ht="12.75" customHeight="1" outlineLevel="1" x14ac:dyDescent="0.3">
      <c r="A15" s="310" t="s">
        <v>804</v>
      </c>
      <c r="B15" s="214">
        <v>666</v>
      </c>
      <c r="C15" s="284">
        <v>0</v>
      </c>
      <c r="D15" s="284">
        <v>0</v>
      </c>
    </row>
    <row r="16" spans="1:4" ht="12.75" customHeight="1" outlineLevel="1" x14ac:dyDescent="0.3">
      <c r="A16" s="309" t="s">
        <v>800</v>
      </c>
      <c r="B16" s="214">
        <v>6661</v>
      </c>
      <c r="C16" s="284">
        <v>0</v>
      </c>
      <c r="D16" s="284">
        <v>0</v>
      </c>
    </row>
    <row r="17" spans="1:4" ht="12.75" customHeight="1" outlineLevel="1" x14ac:dyDescent="0.3">
      <c r="A17" s="309" t="s">
        <v>801</v>
      </c>
      <c r="B17" s="214"/>
      <c r="C17" s="215">
        <f>C15-C16</f>
        <v>0</v>
      </c>
      <c r="D17" s="215">
        <v>0</v>
      </c>
    </row>
    <row r="18" spans="1:4" ht="12.75" customHeight="1" outlineLevel="1" x14ac:dyDescent="0.3">
      <c r="A18" s="310" t="s">
        <v>805</v>
      </c>
      <c r="B18" s="214">
        <v>667</v>
      </c>
      <c r="C18" s="284">
        <v>0</v>
      </c>
      <c r="D18" s="284">
        <v>0</v>
      </c>
    </row>
    <row r="19" spans="1:4" ht="12.75" customHeight="1" outlineLevel="1" x14ac:dyDescent="0.3">
      <c r="A19" s="309" t="s">
        <v>806</v>
      </c>
      <c r="B19" s="311" t="s">
        <v>807</v>
      </c>
      <c r="C19" s="284">
        <v>0</v>
      </c>
      <c r="D19" s="284">
        <v>0</v>
      </c>
    </row>
    <row r="20" spans="1:4" ht="12.75" customHeight="1" outlineLevel="1" x14ac:dyDescent="0.3">
      <c r="A20" s="309" t="s">
        <v>808</v>
      </c>
      <c r="B20" s="311" t="s">
        <v>809</v>
      </c>
      <c r="C20" s="284">
        <v>0</v>
      </c>
      <c r="D20" s="284">
        <v>0</v>
      </c>
    </row>
    <row r="21" spans="1:4" ht="12.75" customHeight="1" outlineLevel="1" x14ac:dyDescent="0.3">
      <c r="A21" s="309" t="s">
        <v>810</v>
      </c>
      <c r="B21" s="214">
        <v>6672</v>
      </c>
      <c r="C21" s="284">
        <v>0</v>
      </c>
      <c r="D21" s="284">
        <v>0</v>
      </c>
    </row>
    <row r="22" spans="1:4" ht="12.75" customHeight="1" outlineLevel="1" x14ac:dyDescent="0.3">
      <c r="A22" s="310" t="s">
        <v>811</v>
      </c>
      <c r="B22" s="214">
        <v>662</v>
      </c>
      <c r="C22" s="284">
        <v>0</v>
      </c>
      <c r="D22" s="284">
        <v>0</v>
      </c>
    </row>
    <row r="23" spans="1:4" ht="12.75" customHeight="1" outlineLevel="1" x14ac:dyDescent="0.3">
      <c r="A23" s="309" t="s">
        <v>812</v>
      </c>
      <c r="B23" s="214">
        <v>6621</v>
      </c>
      <c r="C23" s="284">
        <v>0</v>
      </c>
      <c r="D23" s="284">
        <v>0</v>
      </c>
    </row>
    <row r="24" spans="1:4" ht="12.75" customHeight="1" outlineLevel="1" x14ac:dyDescent="0.3">
      <c r="A24" s="309" t="s">
        <v>813</v>
      </c>
      <c r="B24" s="214"/>
      <c r="C24" s="284">
        <v>0</v>
      </c>
      <c r="D24" s="215">
        <v>0</v>
      </c>
    </row>
    <row r="25" spans="1:4" ht="12.75" customHeight="1" outlineLevel="1" x14ac:dyDescent="0.3">
      <c r="A25" s="310" t="s">
        <v>814</v>
      </c>
      <c r="B25" s="214">
        <v>663</v>
      </c>
      <c r="C25" s="284">
        <v>0</v>
      </c>
      <c r="D25" s="284">
        <v>0</v>
      </c>
    </row>
    <row r="26" spans="1:4" ht="12.75" customHeight="1" outlineLevel="1" x14ac:dyDescent="0.3">
      <c r="A26" s="310" t="s">
        <v>801</v>
      </c>
      <c r="B26" s="214"/>
      <c r="C26" s="284">
        <v>0</v>
      </c>
      <c r="D26" s="215"/>
    </row>
    <row r="27" spans="1:4" ht="12.75" customHeight="1" outlineLevel="1" x14ac:dyDescent="0.3">
      <c r="A27" s="310"/>
      <c r="B27" s="214"/>
      <c r="C27" s="215"/>
      <c r="D27" s="215"/>
    </row>
    <row r="28" spans="1:4" s="209" customFormat="1" ht="12.75" customHeight="1" outlineLevel="1" x14ac:dyDescent="0.3">
      <c r="A28" s="282" t="s">
        <v>815</v>
      </c>
      <c r="B28" s="308"/>
      <c r="C28" s="312">
        <v>3321.7</v>
      </c>
      <c r="D28" s="312">
        <f>+D30+D31+D32+D36+D42+D40+D43</f>
        <v>0</v>
      </c>
    </row>
    <row r="29" spans="1:4" ht="12.75" customHeight="1" outlineLevel="1" x14ac:dyDescent="0.3">
      <c r="A29" s="310"/>
      <c r="B29" s="214"/>
      <c r="C29" s="215"/>
      <c r="D29" s="215"/>
    </row>
    <row r="30" spans="1:4" ht="12.75" customHeight="1" outlineLevel="1" x14ac:dyDescent="0.3">
      <c r="A30" s="310" t="s">
        <v>816</v>
      </c>
      <c r="B30" s="214">
        <v>761</v>
      </c>
      <c r="C30" s="284">
        <v>0</v>
      </c>
      <c r="D30" s="284">
        <v>0</v>
      </c>
    </row>
    <row r="31" spans="1:4" ht="12.75" customHeight="1" outlineLevel="1" x14ac:dyDescent="0.3">
      <c r="A31" s="310" t="s">
        <v>817</v>
      </c>
      <c r="B31" s="214">
        <v>764</v>
      </c>
      <c r="C31" s="284">
        <v>0</v>
      </c>
      <c r="D31" s="284">
        <v>0</v>
      </c>
    </row>
    <row r="32" spans="1:4" ht="12.75" customHeight="1" outlineLevel="1" x14ac:dyDescent="0.3">
      <c r="A32" s="310" t="s">
        <v>818</v>
      </c>
      <c r="B32" s="214">
        <v>765</v>
      </c>
      <c r="C32" s="284">
        <v>0</v>
      </c>
      <c r="D32" s="284">
        <v>0</v>
      </c>
    </row>
    <row r="33" spans="1:4" ht="12.75" customHeight="1" outlineLevel="1" x14ac:dyDescent="0.3">
      <c r="A33" s="309" t="s">
        <v>806</v>
      </c>
      <c r="B33" s="307" t="s">
        <v>819</v>
      </c>
      <c r="C33" s="284">
        <v>0</v>
      </c>
      <c r="D33" s="284">
        <v>0</v>
      </c>
    </row>
    <row r="34" spans="1:4" ht="12.75" customHeight="1" outlineLevel="1" x14ac:dyDescent="0.3">
      <c r="A34" s="309" t="s">
        <v>820</v>
      </c>
      <c r="B34" s="307" t="s">
        <v>821</v>
      </c>
      <c r="C34" s="284">
        <v>0</v>
      </c>
      <c r="D34" s="284">
        <v>0</v>
      </c>
    </row>
    <row r="35" spans="1:4" ht="12.75" customHeight="1" outlineLevel="1" x14ac:dyDescent="0.3">
      <c r="A35" s="309" t="s">
        <v>810</v>
      </c>
      <c r="B35" s="214">
        <v>7652</v>
      </c>
      <c r="C35" s="284"/>
      <c r="D35" s="284">
        <v>0</v>
      </c>
    </row>
    <row r="36" spans="1:4" ht="12.75" customHeight="1" outlineLevel="1" x14ac:dyDescent="0.3">
      <c r="A36" s="310" t="s">
        <v>822</v>
      </c>
      <c r="B36" s="214">
        <v>766</v>
      </c>
      <c r="C36" s="284">
        <v>0</v>
      </c>
      <c r="D36" s="284">
        <v>0</v>
      </c>
    </row>
    <row r="37" spans="1:4" ht="12.75" customHeight="1" outlineLevel="1" x14ac:dyDescent="0.3">
      <c r="A37" s="309" t="s">
        <v>800</v>
      </c>
      <c r="B37" s="214">
        <v>7661</v>
      </c>
      <c r="C37" s="284">
        <v>0</v>
      </c>
      <c r="D37" s="284">
        <v>0</v>
      </c>
    </row>
    <row r="38" spans="1:4" ht="12.75" customHeight="1" outlineLevel="1" x14ac:dyDescent="0.3">
      <c r="A38" s="309" t="s">
        <v>801</v>
      </c>
      <c r="B38" s="214">
        <v>7662</v>
      </c>
      <c r="C38" s="284">
        <v>0</v>
      </c>
      <c r="D38" s="284">
        <v>0</v>
      </c>
    </row>
    <row r="39" spans="1:4" ht="12.75" customHeight="1" outlineLevel="1" x14ac:dyDescent="0.3">
      <c r="A39" s="310" t="s">
        <v>823</v>
      </c>
      <c r="B39" s="214">
        <v>762</v>
      </c>
      <c r="C39" s="284">
        <v>0</v>
      </c>
      <c r="D39" s="284">
        <v>0</v>
      </c>
    </row>
    <row r="40" spans="1:4" ht="12.75" customHeight="1" outlineLevel="1" x14ac:dyDescent="0.3">
      <c r="A40" s="309" t="s">
        <v>812</v>
      </c>
      <c r="B40" s="214">
        <v>7621</v>
      </c>
      <c r="C40" s="284">
        <v>0</v>
      </c>
      <c r="D40" s="284">
        <v>0</v>
      </c>
    </row>
    <row r="41" spans="1:4" ht="12.75" customHeight="1" outlineLevel="1" x14ac:dyDescent="0.3">
      <c r="A41" s="309" t="s">
        <v>813</v>
      </c>
      <c r="B41" s="214">
        <v>7622</v>
      </c>
      <c r="C41" s="284">
        <v>0</v>
      </c>
      <c r="D41" s="284">
        <v>0</v>
      </c>
    </row>
    <row r="42" spans="1:4" ht="12.75" customHeight="1" outlineLevel="1" x14ac:dyDescent="0.3">
      <c r="A42" s="310" t="s">
        <v>814</v>
      </c>
      <c r="B42" s="214">
        <v>763</v>
      </c>
      <c r="C42" s="284">
        <v>0</v>
      </c>
      <c r="D42" s="284">
        <v>0</v>
      </c>
    </row>
    <row r="43" spans="1:4" ht="12.75" customHeight="1" outlineLevel="1" x14ac:dyDescent="0.3">
      <c r="A43" s="310" t="s">
        <v>801</v>
      </c>
      <c r="B43" s="214">
        <v>767</v>
      </c>
      <c r="C43" s="284">
        <v>0</v>
      </c>
      <c r="D43" s="284">
        <v>0</v>
      </c>
    </row>
    <row r="44" spans="1:4" ht="12.75" customHeight="1" outlineLevel="1" x14ac:dyDescent="0.3">
      <c r="A44" s="310"/>
      <c r="B44" s="214"/>
      <c r="C44" s="284"/>
      <c r="D44" s="284"/>
    </row>
    <row r="45" spans="1:4" ht="12.75" customHeight="1" outlineLevel="1" x14ac:dyDescent="0.3">
      <c r="A45" s="216" t="s">
        <v>445</v>
      </c>
      <c r="B45" s="216"/>
      <c r="C45" s="217">
        <f>+-C28</f>
        <v>-3321.7</v>
      </c>
      <c r="D45" s="217">
        <f>D4-D28</f>
        <v>0</v>
      </c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paperSize="9"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workbookViewId="0">
      <selection activeCell="J19" sqref="J19"/>
    </sheetView>
  </sheetViews>
  <sheetFormatPr defaultRowHeight="12.75" customHeight="1" outlineLevelRow="1" x14ac:dyDescent="0.15"/>
  <cols>
    <col min="1" max="1" width="27.28515625" style="244" customWidth="1"/>
    <col min="2" max="2" width="0" style="244" hidden="1" customWidth="1"/>
    <col min="3" max="16384" width="9.140625" style="244"/>
  </cols>
  <sheetData>
    <row r="1" spans="1:4" s="243" customFormat="1" ht="12.75" customHeight="1" outlineLevel="1" x14ac:dyDescent="0.15">
      <c r="A1" s="243" t="s">
        <v>824</v>
      </c>
    </row>
    <row r="2" spans="1:4" ht="12.75" customHeight="1" outlineLevel="1" x14ac:dyDescent="0.15">
      <c r="A2" s="470" t="s">
        <v>424</v>
      </c>
      <c r="B2" s="496"/>
      <c r="C2" s="496">
        <f>[2]Parâmetros!$F$5</f>
        <v>2012</v>
      </c>
      <c r="D2" s="468">
        <f>[2]Parâmetros!$F$6</f>
        <v>2011</v>
      </c>
    </row>
    <row r="3" spans="1:4" ht="12.75" customHeight="1" outlineLevel="1" x14ac:dyDescent="0.15">
      <c r="A3" s="504"/>
      <c r="B3" s="487"/>
      <c r="C3" s="487"/>
      <c r="D3" s="505"/>
    </row>
    <row r="4" spans="1:4" ht="12.75" customHeight="1" outlineLevel="1" x14ac:dyDescent="0.15">
      <c r="A4" s="264" t="s">
        <v>520</v>
      </c>
      <c r="B4" s="264">
        <v>6711</v>
      </c>
      <c r="C4" s="265">
        <v>0</v>
      </c>
      <c r="D4" s="265">
        <v>0</v>
      </c>
    </row>
    <row r="5" spans="1:4" ht="12.75" customHeight="1" outlineLevel="1" x14ac:dyDescent="0.15">
      <c r="A5" s="264"/>
      <c r="B5" s="264"/>
      <c r="C5" s="313"/>
      <c r="D5" s="246"/>
    </row>
    <row r="6" spans="1:4" ht="12.75" customHeight="1" outlineLevel="1" x14ac:dyDescent="0.15">
      <c r="A6" s="314" t="s">
        <v>825</v>
      </c>
      <c r="B6" s="264"/>
      <c r="C6" s="313"/>
      <c r="D6" s="246"/>
    </row>
    <row r="7" spans="1:4" ht="12.75" customHeight="1" outlineLevel="1" x14ac:dyDescent="0.15">
      <c r="A7" s="314" t="s">
        <v>826</v>
      </c>
      <c r="B7" s="264"/>
      <c r="C7" s="313"/>
      <c r="D7" s="246"/>
    </row>
    <row r="8" spans="1:4" ht="12.75" customHeight="1" outlineLevel="1" x14ac:dyDescent="0.15">
      <c r="A8" s="264"/>
      <c r="B8" s="264"/>
      <c r="C8" s="313"/>
      <c r="D8" s="246"/>
    </row>
    <row r="9" spans="1:4" ht="12.75" customHeight="1" outlineLevel="1" x14ac:dyDescent="0.15">
      <c r="A9" s="264" t="s">
        <v>827</v>
      </c>
      <c r="B9" s="264">
        <v>6712</v>
      </c>
      <c r="C9" s="265">
        <v>0</v>
      </c>
      <c r="D9" s="265">
        <v>0</v>
      </c>
    </row>
    <row r="10" spans="1:4" ht="12.75" customHeight="1" outlineLevel="1" x14ac:dyDescent="0.15">
      <c r="A10" s="264"/>
      <c r="B10" s="264"/>
      <c r="C10" s="313"/>
      <c r="D10" s="246"/>
    </row>
    <row r="11" spans="1:4" ht="12.75" customHeight="1" outlineLevel="1" x14ac:dyDescent="0.15">
      <c r="A11" s="314" t="s">
        <v>825</v>
      </c>
      <c r="B11" s="264"/>
      <c r="C11" s="313"/>
      <c r="D11" s="246"/>
    </row>
    <row r="12" spans="1:4" ht="12.75" customHeight="1" outlineLevel="1" x14ac:dyDescent="0.15">
      <c r="A12" s="314" t="s">
        <v>826</v>
      </c>
      <c r="B12" s="245"/>
      <c r="C12" s="246"/>
      <c r="D12" s="246"/>
    </row>
    <row r="13" spans="1:4" ht="12.75" customHeight="1" outlineLevel="1" x14ac:dyDescent="0.15">
      <c r="A13" s="314"/>
      <c r="B13" s="245"/>
      <c r="C13" s="246"/>
      <c r="D13" s="246"/>
    </row>
    <row r="14" spans="1:4" ht="12.75" customHeight="1" outlineLevel="1" x14ac:dyDescent="0.15">
      <c r="A14" s="266" t="s">
        <v>445</v>
      </c>
      <c r="B14" s="266"/>
      <c r="C14" s="267">
        <f>+C4+C9</f>
        <v>0</v>
      </c>
      <c r="D14" s="267">
        <f>+D4+D9</f>
        <v>0</v>
      </c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showGridLines="0" workbookViewId="0">
      <selection activeCell="A12" sqref="A12"/>
    </sheetView>
  </sheetViews>
  <sheetFormatPr defaultRowHeight="12.75" customHeight="1" outlineLevelRow="1" x14ac:dyDescent="0.3"/>
  <cols>
    <col min="1" max="1" width="43.28515625" style="210" bestFit="1" customWidth="1"/>
    <col min="2" max="2" width="0" style="210" hidden="1" customWidth="1"/>
    <col min="3" max="3" width="15.140625" style="210" bestFit="1" customWidth="1"/>
    <col min="4" max="4" width="14.28515625" style="210" bestFit="1" customWidth="1"/>
    <col min="5" max="6" width="9.140625" style="210"/>
    <col min="7" max="7" width="10.140625" style="210" bestFit="1" customWidth="1"/>
    <col min="8" max="9" width="9.140625" style="210"/>
    <col min="10" max="10" width="15.85546875" style="210" bestFit="1" customWidth="1"/>
    <col min="11" max="16384" width="9.140625" style="210"/>
  </cols>
  <sheetData>
    <row r="1" spans="1:10" s="209" customFormat="1" ht="12.75" customHeight="1" outlineLevel="1" x14ac:dyDescent="0.3">
      <c r="A1" s="209" t="s">
        <v>828</v>
      </c>
    </row>
    <row r="2" spans="1:10" ht="12.75" customHeight="1" outlineLevel="1" x14ac:dyDescent="0.3">
      <c r="A2" s="506" t="s">
        <v>424</v>
      </c>
      <c r="B2" s="483"/>
      <c r="C2" s="483">
        <v>2012</v>
      </c>
      <c r="D2" s="493">
        <v>2011</v>
      </c>
    </row>
    <row r="3" spans="1:10" ht="12.75" customHeight="1" outlineLevel="1" x14ac:dyDescent="0.3">
      <c r="A3" s="507"/>
      <c r="B3" s="444"/>
      <c r="C3" s="444"/>
      <c r="D3" s="446"/>
    </row>
    <row r="4" spans="1:10" s="209" customFormat="1" ht="12.75" customHeight="1" outlineLevel="1" x14ac:dyDescent="0.3">
      <c r="A4" s="282" t="s">
        <v>829</v>
      </c>
      <c r="B4" s="315">
        <v>68</v>
      </c>
      <c r="C4" s="312">
        <f>+C6+SUM(C10:C18)</f>
        <v>0</v>
      </c>
      <c r="D4" s="312">
        <f>+D6+SUM(D10:D18)</f>
        <v>0</v>
      </c>
    </row>
    <row r="5" spans="1:10" ht="12.75" customHeight="1" outlineLevel="1" x14ac:dyDescent="0.3">
      <c r="A5" s="283"/>
      <c r="B5" s="283"/>
      <c r="C5" s="312"/>
      <c r="D5" s="215"/>
    </row>
    <row r="6" spans="1:10" ht="12.75" customHeight="1" outlineLevel="1" x14ac:dyDescent="0.3">
      <c r="A6" s="310" t="s">
        <v>830</v>
      </c>
      <c r="B6" s="283">
        <v>6801</v>
      </c>
      <c r="C6" s="284">
        <v>0</v>
      </c>
      <c r="D6" s="284">
        <v>0</v>
      </c>
    </row>
    <row r="7" spans="1:10" ht="12.75" customHeight="1" outlineLevel="1" x14ac:dyDescent="0.35">
      <c r="A7" s="309" t="s">
        <v>831</v>
      </c>
      <c r="B7" s="283">
        <v>68011</v>
      </c>
      <c r="C7" s="284">
        <v>0</v>
      </c>
      <c r="D7" s="284">
        <v>0</v>
      </c>
      <c r="G7" s="238"/>
      <c r="H7" s="239"/>
      <c r="I7" s="239"/>
      <c r="J7" s="316"/>
    </row>
    <row r="8" spans="1:10" ht="12.75" customHeight="1" outlineLevel="1" x14ac:dyDescent="0.3">
      <c r="A8" s="309" t="s">
        <v>832</v>
      </c>
      <c r="B8" s="283">
        <v>68012</v>
      </c>
      <c r="C8" s="284">
        <v>0</v>
      </c>
      <c r="D8" s="284">
        <v>0</v>
      </c>
    </row>
    <row r="9" spans="1:10" ht="12.75" customHeight="1" outlineLevel="1" x14ac:dyDescent="0.3">
      <c r="A9" s="317" t="s">
        <v>833</v>
      </c>
      <c r="B9" s="283">
        <v>68013</v>
      </c>
      <c r="C9" s="284">
        <v>0</v>
      </c>
      <c r="D9" s="284">
        <v>0</v>
      </c>
      <c r="J9" s="230"/>
    </row>
    <row r="10" spans="1:10" ht="12.75" customHeight="1" outlineLevel="1" x14ac:dyDescent="0.3">
      <c r="A10" s="310" t="s">
        <v>834</v>
      </c>
      <c r="B10" s="283">
        <v>6802</v>
      </c>
      <c r="C10" s="284">
        <v>0</v>
      </c>
      <c r="D10" s="284">
        <v>0</v>
      </c>
    </row>
    <row r="11" spans="1:10" ht="12.75" customHeight="1" outlineLevel="1" x14ac:dyDescent="0.3">
      <c r="A11" s="309" t="s">
        <v>835</v>
      </c>
      <c r="B11" s="283">
        <v>6803</v>
      </c>
      <c r="C11" s="284">
        <v>0</v>
      </c>
      <c r="D11" s="284">
        <v>0</v>
      </c>
    </row>
    <row r="12" spans="1:10" ht="12.75" customHeight="1" outlineLevel="1" x14ac:dyDescent="0.3">
      <c r="A12" s="309" t="s">
        <v>836</v>
      </c>
      <c r="B12" s="283">
        <v>6804</v>
      </c>
      <c r="C12" s="284">
        <v>0</v>
      </c>
      <c r="D12" s="284">
        <v>0</v>
      </c>
    </row>
    <row r="13" spans="1:10" ht="12.75" customHeight="1" outlineLevel="1" x14ac:dyDescent="0.3">
      <c r="A13" s="317" t="s">
        <v>837</v>
      </c>
      <c r="B13" s="283">
        <v>6805</v>
      </c>
      <c r="C13" s="284">
        <v>0</v>
      </c>
      <c r="D13" s="284">
        <v>0</v>
      </c>
    </row>
    <row r="14" spans="1:10" ht="12.75" customHeight="1" outlineLevel="1" x14ac:dyDescent="0.3">
      <c r="A14" s="309" t="s">
        <v>838</v>
      </c>
      <c r="B14" s="283">
        <v>6806</v>
      </c>
      <c r="C14" s="284">
        <v>0</v>
      </c>
      <c r="D14" s="284">
        <v>0</v>
      </c>
    </row>
    <row r="15" spans="1:10" ht="12.75" customHeight="1" outlineLevel="1" x14ac:dyDescent="0.3">
      <c r="A15" s="309" t="s">
        <v>839</v>
      </c>
      <c r="B15" s="283">
        <v>6808</v>
      </c>
      <c r="C15" s="284">
        <v>0</v>
      </c>
      <c r="D15" s="284">
        <v>0</v>
      </c>
    </row>
    <row r="16" spans="1:10" ht="12.75" customHeight="1" outlineLevel="1" x14ac:dyDescent="0.3">
      <c r="A16" s="317" t="s">
        <v>840</v>
      </c>
      <c r="B16" s="283">
        <v>6809</v>
      </c>
      <c r="C16" s="284">
        <v>0</v>
      </c>
      <c r="D16" s="284">
        <v>0</v>
      </c>
    </row>
    <row r="17" spans="1:7" ht="12.75" customHeight="1" outlineLevel="1" x14ac:dyDescent="0.3">
      <c r="A17" s="309" t="s">
        <v>841</v>
      </c>
      <c r="B17" s="283">
        <v>6810</v>
      </c>
      <c r="C17" s="284">
        <v>0</v>
      </c>
      <c r="D17" s="284">
        <v>0</v>
      </c>
    </row>
    <row r="18" spans="1:7" ht="12.75" customHeight="1" outlineLevel="1" x14ac:dyDescent="0.3">
      <c r="A18" s="309" t="s">
        <v>150</v>
      </c>
      <c r="B18" s="283">
        <v>6811</v>
      </c>
      <c r="C18" s="284">
        <v>0</v>
      </c>
      <c r="D18" s="284">
        <v>0</v>
      </c>
    </row>
    <row r="19" spans="1:7" ht="12.75" customHeight="1" outlineLevel="1" x14ac:dyDescent="0.3">
      <c r="A19" s="318"/>
      <c r="B19" s="283"/>
      <c r="C19" s="312"/>
      <c r="D19" s="215"/>
    </row>
    <row r="20" spans="1:7" s="209" customFormat="1" ht="12.75" customHeight="1" outlineLevel="1" x14ac:dyDescent="0.3">
      <c r="A20" s="282" t="s">
        <v>842</v>
      </c>
      <c r="B20" s="315">
        <v>78</v>
      </c>
      <c r="C20" s="312">
        <f>+C22+SUM(C27:C36)</f>
        <v>0</v>
      </c>
      <c r="D20" s="312">
        <f>+D22+SUM(D27:D36)</f>
        <v>0</v>
      </c>
      <c r="G20" s="319"/>
    </row>
    <row r="21" spans="1:7" ht="12.75" customHeight="1" outlineLevel="1" x14ac:dyDescent="0.3">
      <c r="A21" s="240"/>
      <c r="B21" s="283"/>
      <c r="C21" s="320"/>
      <c r="D21" s="320"/>
    </row>
    <row r="22" spans="1:7" ht="12.75" customHeight="1" outlineLevel="1" x14ac:dyDescent="0.3">
      <c r="A22" s="310" t="s">
        <v>544</v>
      </c>
      <c r="B22" s="283">
        <v>7801</v>
      </c>
      <c r="C22" s="284">
        <v>0</v>
      </c>
      <c r="D22" s="284">
        <v>0</v>
      </c>
    </row>
    <row r="23" spans="1:7" ht="12.75" customHeight="1" outlineLevel="1" x14ac:dyDescent="0.3">
      <c r="A23" s="240"/>
      <c r="B23" s="283"/>
      <c r="C23" s="320"/>
      <c r="D23" s="320"/>
    </row>
    <row r="24" spans="1:7" ht="12.75" customHeight="1" outlineLevel="1" x14ac:dyDescent="0.3">
      <c r="A24" s="309" t="s">
        <v>831</v>
      </c>
      <c r="B24" s="283">
        <v>78011</v>
      </c>
      <c r="C24" s="284">
        <v>0</v>
      </c>
      <c r="D24" s="284">
        <v>0</v>
      </c>
    </row>
    <row r="25" spans="1:7" ht="12.75" customHeight="1" outlineLevel="1" x14ac:dyDescent="0.3">
      <c r="A25" s="309" t="s">
        <v>832</v>
      </c>
      <c r="B25" s="283">
        <v>78012</v>
      </c>
      <c r="C25" s="284">
        <v>0</v>
      </c>
      <c r="D25" s="284">
        <v>0</v>
      </c>
    </row>
    <row r="26" spans="1:7" ht="12.75" customHeight="1" outlineLevel="1" x14ac:dyDescent="0.3">
      <c r="A26" s="317" t="s">
        <v>833</v>
      </c>
      <c r="B26" s="283">
        <v>78013</v>
      </c>
      <c r="C26" s="284">
        <v>0</v>
      </c>
      <c r="D26" s="284">
        <v>0</v>
      </c>
    </row>
    <row r="27" spans="1:7" ht="12.75" customHeight="1" outlineLevel="1" x14ac:dyDescent="0.3">
      <c r="A27" s="310" t="s">
        <v>843</v>
      </c>
      <c r="B27" s="283">
        <v>7802</v>
      </c>
      <c r="C27" s="284">
        <v>0</v>
      </c>
      <c r="D27" s="284">
        <v>0</v>
      </c>
    </row>
    <row r="28" spans="1:7" ht="12.75" customHeight="1" outlineLevel="1" x14ac:dyDescent="0.3">
      <c r="A28" s="310" t="s">
        <v>844</v>
      </c>
      <c r="B28" s="283">
        <v>7803</v>
      </c>
      <c r="C28" s="284">
        <v>0</v>
      </c>
      <c r="D28" s="284">
        <v>0</v>
      </c>
    </row>
    <row r="29" spans="1:7" ht="12.75" customHeight="1" outlineLevel="1" x14ac:dyDescent="0.3">
      <c r="A29" s="310" t="s">
        <v>845</v>
      </c>
      <c r="B29" s="283">
        <v>7804</v>
      </c>
      <c r="C29" s="284">
        <v>0</v>
      </c>
      <c r="D29" s="284">
        <v>0</v>
      </c>
    </row>
    <row r="30" spans="1:7" ht="12.75" customHeight="1" outlineLevel="1" x14ac:dyDescent="0.3">
      <c r="A30" s="321" t="s">
        <v>846</v>
      </c>
      <c r="B30" s="283">
        <v>7805</v>
      </c>
      <c r="C30" s="284">
        <v>0</v>
      </c>
      <c r="D30" s="284">
        <v>0</v>
      </c>
    </row>
    <row r="31" spans="1:7" ht="12.75" customHeight="1" outlineLevel="1" x14ac:dyDescent="0.3">
      <c r="A31" s="310" t="s">
        <v>847</v>
      </c>
      <c r="B31" s="283">
        <v>7806</v>
      </c>
      <c r="C31" s="284">
        <v>0</v>
      </c>
      <c r="D31" s="284">
        <v>0</v>
      </c>
    </row>
    <row r="32" spans="1:7" ht="12.75" customHeight="1" outlineLevel="1" x14ac:dyDescent="0.3">
      <c r="A32" s="310" t="s">
        <v>848</v>
      </c>
      <c r="B32" s="283">
        <v>7807</v>
      </c>
      <c r="C32" s="284">
        <v>0</v>
      </c>
      <c r="D32" s="284">
        <v>0</v>
      </c>
    </row>
    <row r="33" spans="1:4" ht="12.75" customHeight="1" outlineLevel="1" x14ac:dyDescent="0.3">
      <c r="A33" s="310" t="s">
        <v>839</v>
      </c>
      <c r="B33" s="283">
        <v>7808</v>
      </c>
      <c r="C33" s="284">
        <v>0</v>
      </c>
      <c r="D33" s="284">
        <v>0</v>
      </c>
    </row>
    <row r="34" spans="1:4" ht="12.75" customHeight="1" outlineLevel="1" x14ac:dyDescent="0.3">
      <c r="A34" s="321" t="s">
        <v>840</v>
      </c>
      <c r="B34" s="283">
        <v>7809</v>
      </c>
      <c r="C34" s="284">
        <v>0</v>
      </c>
      <c r="D34" s="284">
        <v>0</v>
      </c>
    </row>
    <row r="35" spans="1:4" ht="12.75" customHeight="1" outlineLevel="1" x14ac:dyDescent="0.3">
      <c r="A35" s="310" t="s">
        <v>841</v>
      </c>
      <c r="B35" s="283">
        <v>7810</v>
      </c>
      <c r="C35" s="284">
        <v>0</v>
      </c>
      <c r="D35" s="284">
        <v>0</v>
      </c>
    </row>
    <row r="36" spans="1:4" ht="12.75" customHeight="1" outlineLevel="1" x14ac:dyDescent="0.3">
      <c r="A36" s="310" t="s">
        <v>180</v>
      </c>
      <c r="B36" s="283">
        <v>7811</v>
      </c>
      <c r="C36" s="284">
        <v>0</v>
      </c>
      <c r="D36" s="284">
        <v>0</v>
      </c>
    </row>
    <row r="37" spans="1:4" ht="12.75" customHeight="1" outlineLevel="1" x14ac:dyDescent="0.3">
      <c r="A37" s="310"/>
      <c r="B37" s="283"/>
      <c r="C37" s="284"/>
      <c r="D37" s="284"/>
    </row>
    <row r="38" spans="1:4" ht="12.75" customHeight="1" outlineLevel="1" x14ac:dyDescent="0.3">
      <c r="A38" s="216" t="s">
        <v>445</v>
      </c>
      <c r="B38" s="216"/>
      <c r="C38" s="217">
        <f>+C4-C20</f>
        <v>0</v>
      </c>
      <c r="D38" s="217">
        <f>+D4-D20</f>
        <v>0</v>
      </c>
    </row>
    <row r="39" spans="1:4" ht="12.75" customHeight="1" x14ac:dyDescent="0.3">
      <c r="C39" s="322"/>
      <c r="D39" s="322"/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workbookViewId="0">
      <selection activeCell="H12" sqref="H12"/>
    </sheetView>
  </sheetViews>
  <sheetFormatPr defaultRowHeight="12.75" customHeight="1" outlineLevelRow="1" x14ac:dyDescent="0.3"/>
  <cols>
    <col min="1" max="1" width="35.140625" style="210" customWidth="1"/>
    <col min="2" max="2" width="0" style="210" hidden="1" customWidth="1"/>
    <col min="3" max="3" width="11.28515625" style="210" bestFit="1" customWidth="1"/>
    <col min="4" max="4" width="10.140625" style="210" bestFit="1" customWidth="1"/>
    <col min="5" max="16384" width="9.140625" style="210"/>
  </cols>
  <sheetData>
    <row r="1" spans="1:9" s="209" customFormat="1" ht="12.75" customHeight="1" outlineLevel="1" x14ac:dyDescent="0.35">
      <c r="A1" s="238" t="s">
        <v>849</v>
      </c>
    </row>
    <row r="2" spans="1:9" ht="12.75" customHeight="1" outlineLevel="1" x14ac:dyDescent="0.3">
      <c r="A2" s="482" t="s">
        <v>424</v>
      </c>
      <c r="B2" s="483"/>
      <c r="C2" s="483">
        <v>2012</v>
      </c>
      <c r="D2" s="493">
        <v>2011</v>
      </c>
    </row>
    <row r="3" spans="1:9" ht="12.75" customHeight="1" outlineLevel="1" x14ac:dyDescent="0.3">
      <c r="A3" s="442"/>
      <c r="B3" s="444"/>
      <c r="C3" s="444"/>
      <c r="D3" s="446"/>
    </row>
    <row r="4" spans="1:9" s="209" customFormat="1" ht="12.75" customHeight="1" outlineLevel="1" x14ac:dyDescent="0.3">
      <c r="A4" s="315" t="s">
        <v>152</v>
      </c>
      <c r="B4" s="315">
        <v>69</v>
      </c>
      <c r="C4" s="312">
        <f>SUM(C6:C11)</f>
        <v>20000</v>
      </c>
      <c r="D4" s="312">
        <f>SUM(D6:D11)</f>
        <v>0</v>
      </c>
    </row>
    <row r="5" spans="1:9" ht="12.75" customHeight="1" outlineLevel="1" x14ac:dyDescent="0.3">
      <c r="A5" s="283"/>
      <c r="B5" s="283"/>
      <c r="C5" s="312"/>
      <c r="D5" s="215"/>
    </row>
    <row r="6" spans="1:9" ht="12.75" customHeight="1" outlineLevel="1" x14ac:dyDescent="0.3">
      <c r="A6" s="321" t="s">
        <v>850</v>
      </c>
      <c r="B6" s="283">
        <v>691</v>
      </c>
      <c r="C6" s="284">
        <v>20000</v>
      </c>
      <c r="D6" s="284">
        <v>0</v>
      </c>
    </row>
    <row r="7" spans="1:9" ht="12.75" customHeight="1" outlineLevel="1" x14ac:dyDescent="0.3">
      <c r="A7" s="321" t="s">
        <v>851</v>
      </c>
      <c r="B7" s="283">
        <v>692</v>
      </c>
      <c r="C7" s="284">
        <v>0</v>
      </c>
      <c r="D7" s="284">
        <v>0</v>
      </c>
    </row>
    <row r="8" spans="1:9" ht="12.75" customHeight="1" outlineLevel="1" x14ac:dyDescent="0.3">
      <c r="A8" s="321" t="s">
        <v>852</v>
      </c>
      <c r="B8" s="283">
        <v>693</v>
      </c>
      <c r="C8" s="284">
        <v>0</v>
      </c>
      <c r="D8" s="284">
        <v>0</v>
      </c>
    </row>
    <row r="9" spans="1:9" ht="12.75" customHeight="1" outlineLevel="1" x14ac:dyDescent="0.3">
      <c r="A9" s="321" t="s">
        <v>853</v>
      </c>
      <c r="B9" s="283">
        <v>694</v>
      </c>
      <c r="C9" s="284">
        <v>0</v>
      </c>
      <c r="D9" s="284">
        <v>0</v>
      </c>
    </row>
    <row r="10" spans="1:9" ht="12.75" customHeight="1" outlineLevel="1" x14ac:dyDescent="0.35">
      <c r="A10" s="321" t="s">
        <v>854</v>
      </c>
      <c r="B10" s="283">
        <v>695</v>
      </c>
      <c r="C10" s="284">
        <v>0</v>
      </c>
      <c r="D10" s="284">
        <v>0</v>
      </c>
      <c r="I10" s="238"/>
    </row>
    <row r="11" spans="1:9" ht="12.75" customHeight="1" outlineLevel="1" x14ac:dyDescent="0.3">
      <c r="A11" s="321" t="s">
        <v>855</v>
      </c>
      <c r="B11" s="283">
        <v>696</v>
      </c>
      <c r="C11" s="284">
        <v>0</v>
      </c>
      <c r="D11" s="284">
        <v>0</v>
      </c>
    </row>
    <row r="12" spans="1:9" ht="12.75" customHeight="1" outlineLevel="1" x14ac:dyDescent="0.3">
      <c r="A12" s="283"/>
      <c r="B12" s="283"/>
      <c r="C12" s="312"/>
      <c r="D12" s="215"/>
    </row>
    <row r="13" spans="1:9" s="209" customFormat="1" ht="12.75" customHeight="1" outlineLevel="1" x14ac:dyDescent="0.3">
      <c r="A13" s="315" t="s">
        <v>856</v>
      </c>
      <c r="B13" s="315">
        <v>79</v>
      </c>
      <c r="C13" s="312">
        <f>SUM(C15:C19)</f>
        <v>0</v>
      </c>
      <c r="D13" s="312">
        <f>SUM(D15:D19)</f>
        <v>0</v>
      </c>
    </row>
    <row r="14" spans="1:9" ht="12.75" customHeight="1" outlineLevel="1" x14ac:dyDescent="0.3">
      <c r="A14" s="283"/>
      <c r="B14" s="283"/>
      <c r="C14" s="312"/>
      <c r="D14" s="215"/>
    </row>
    <row r="15" spans="1:9" ht="12.75" customHeight="1" outlineLevel="1" x14ac:dyDescent="0.3">
      <c r="A15" s="321" t="s">
        <v>850</v>
      </c>
      <c r="B15" s="283">
        <v>791</v>
      </c>
      <c r="C15" s="284">
        <v>0</v>
      </c>
      <c r="D15" s="284">
        <v>0</v>
      </c>
    </row>
    <row r="16" spans="1:9" ht="12.75" customHeight="1" outlineLevel="1" x14ac:dyDescent="0.3">
      <c r="A16" s="321" t="s">
        <v>851</v>
      </c>
      <c r="B16" s="283">
        <v>792</v>
      </c>
      <c r="C16" s="284">
        <v>0</v>
      </c>
      <c r="D16" s="284">
        <v>0</v>
      </c>
    </row>
    <row r="17" spans="1:4" ht="12.75" customHeight="1" outlineLevel="1" x14ac:dyDescent="0.3">
      <c r="A17" s="321" t="s">
        <v>852</v>
      </c>
      <c r="B17" s="283">
        <v>793</v>
      </c>
      <c r="C17" s="284">
        <v>0</v>
      </c>
      <c r="D17" s="284">
        <v>0</v>
      </c>
    </row>
    <row r="18" spans="1:4" ht="12.75" customHeight="1" outlineLevel="1" x14ac:dyDescent="0.3">
      <c r="A18" s="321" t="s">
        <v>853</v>
      </c>
      <c r="B18" s="283">
        <v>794</v>
      </c>
      <c r="C18" s="284">
        <v>0</v>
      </c>
      <c r="D18" s="284">
        <v>0</v>
      </c>
    </row>
    <row r="19" spans="1:4" ht="12.75" customHeight="1" outlineLevel="1" x14ac:dyDescent="0.3">
      <c r="A19" s="321" t="s">
        <v>801</v>
      </c>
      <c r="B19" s="283"/>
      <c r="C19" s="312"/>
      <c r="D19" s="215"/>
    </row>
    <row r="20" spans="1:4" ht="12.75" customHeight="1" outlineLevel="1" x14ac:dyDescent="0.3">
      <c r="A20" s="321"/>
      <c r="B20" s="283"/>
      <c r="C20" s="312"/>
      <c r="D20" s="215"/>
    </row>
    <row r="21" spans="1:4" ht="12.75" customHeight="1" outlineLevel="1" x14ac:dyDescent="0.3">
      <c r="A21" s="216" t="s">
        <v>445</v>
      </c>
      <c r="B21" s="216"/>
      <c r="C21" s="217">
        <f>+C4-C13</f>
        <v>20000</v>
      </c>
      <c r="D21" s="217">
        <f>+D4-D13</f>
        <v>0</v>
      </c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workbookViewId="0"/>
  </sheetViews>
  <sheetFormatPr defaultRowHeight="12.75" customHeight="1" outlineLevelRow="1" x14ac:dyDescent="0.15"/>
  <cols>
    <col min="1" max="1" width="44.5703125" style="244" customWidth="1"/>
    <col min="2" max="2" width="0" style="244" hidden="1" customWidth="1"/>
    <col min="3" max="3" width="14" style="244" bestFit="1" customWidth="1"/>
    <col min="4" max="4" width="14.140625" style="244" customWidth="1"/>
    <col min="5" max="16384" width="9.140625" style="244"/>
  </cols>
  <sheetData>
    <row r="1" spans="1:9" s="243" customFormat="1" ht="12.75" customHeight="1" outlineLevel="1" x14ac:dyDescent="0.25">
      <c r="A1" s="280" t="s">
        <v>857</v>
      </c>
    </row>
    <row r="2" spans="1:9" ht="12.75" customHeight="1" outlineLevel="1" x14ac:dyDescent="0.15">
      <c r="A2" s="495" t="s">
        <v>424</v>
      </c>
      <c r="B2" s="496"/>
      <c r="C2" s="496">
        <v>2014</v>
      </c>
      <c r="D2" s="497">
        <v>2013</v>
      </c>
    </row>
    <row r="3" spans="1:9" ht="12.75" customHeight="1" outlineLevel="1" x14ac:dyDescent="0.15">
      <c r="A3" s="485"/>
      <c r="B3" s="487"/>
      <c r="C3" s="487"/>
      <c r="D3" s="490"/>
    </row>
    <row r="4" spans="1:9" ht="12.75" customHeight="1" outlineLevel="1" x14ac:dyDescent="0.15">
      <c r="A4" s="264" t="s">
        <v>858</v>
      </c>
      <c r="B4" s="264">
        <v>88</v>
      </c>
      <c r="C4" s="265">
        <v>-496177.38</v>
      </c>
      <c r="D4" s="265">
        <v>0</v>
      </c>
    </row>
    <row r="5" spans="1:9" ht="12.75" customHeight="1" outlineLevel="1" x14ac:dyDescent="0.15">
      <c r="A5" s="264"/>
      <c r="B5" s="264"/>
      <c r="C5" s="313"/>
      <c r="D5" s="246"/>
    </row>
    <row r="6" spans="1:9" ht="12.75" customHeight="1" outlineLevel="1" x14ac:dyDescent="0.15">
      <c r="A6" s="323" t="s">
        <v>859</v>
      </c>
      <c r="B6" s="264"/>
      <c r="C6" s="246">
        <v>0</v>
      </c>
      <c r="D6" s="246">
        <v>0</v>
      </c>
    </row>
    <row r="7" spans="1:9" ht="12.75" customHeight="1" outlineLevel="1" x14ac:dyDescent="0.15">
      <c r="A7" s="324" t="s">
        <v>860</v>
      </c>
      <c r="B7" s="264"/>
      <c r="C7" s="313"/>
      <c r="D7" s="246"/>
    </row>
    <row r="8" spans="1:9" ht="12.75" customHeight="1" outlineLevel="1" x14ac:dyDescent="0.15">
      <c r="A8" s="314"/>
      <c r="B8" s="264"/>
      <c r="C8" s="313"/>
      <c r="D8" s="246"/>
    </row>
    <row r="9" spans="1:9" ht="12.75" customHeight="1" outlineLevel="1" x14ac:dyDescent="0.25">
      <c r="A9" s="325" t="s">
        <v>861</v>
      </c>
      <c r="B9" s="264"/>
      <c r="C9" s="265">
        <v>0</v>
      </c>
      <c r="D9" s="265">
        <v>0</v>
      </c>
      <c r="I9" s="280"/>
    </row>
    <row r="10" spans="1:9" ht="12.75" customHeight="1" outlineLevel="1" x14ac:dyDescent="0.15">
      <c r="A10" s="326" t="s">
        <v>694</v>
      </c>
      <c r="B10" s="264"/>
      <c r="C10" s="313"/>
      <c r="D10" s="246"/>
    </row>
    <row r="11" spans="1:9" ht="12.75" customHeight="1" outlineLevel="1" x14ac:dyDescent="0.15">
      <c r="A11" s="264"/>
      <c r="B11" s="264"/>
      <c r="C11" s="313"/>
      <c r="D11" s="246"/>
    </row>
    <row r="12" spans="1:9" ht="12.75" customHeight="1" outlineLevel="1" x14ac:dyDescent="0.15">
      <c r="A12" s="324" t="s">
        <v>862</v>
      </c>
      <c r="B12" s="264"/>
      <c r="C12" s="246">
        <v>0</v>
      </c>
      <c r="D12" s="265">
        <v>0</v>
      </c>
    </row>
    <row r="13" spans="1:9" ht="12.75" customHeight="1" outlineLevel="1" x14ac:dyDescent="0.15">
      <c r="A13" s="264"/>
      <c r="B13" s="264"/>
      <c r="C13" s="246"/>
      <c r="D13" s="246"/>
    </row>
    <row r="14" spans="1:9" ht="12.75" customHeight="1" outlineLevel="1" x14ac:dyDescent="0.15">
      <c r="A14" s="314" t="s">
        <v>863</v>
      </c>
      <c r="B14" s="264"/>
      <c r="C14" s="246">
        <v>0</v>
      </c>
      <c r="D14" s="246">
        <v>0</v>
      </c>
    </row>
    <row r="15" spans="1:9" ht="12.75" customHeight="1" outlineLevel="1" x14ac:dyDescent="0.15">
      <c r="A15" s="326" t="s">
        <v>694</v>
      </c>
      <c r="B15" s="264"/>
      <c r="C15" s="246"/>
      <c r="D15" s="246"/>
    </row>
    <row r="16" spans="1:9" ht="12.75" customHeight="1" outlineLevel="1" x14ac:dyDescent="0.15">
      <c r="A16" s="314" t="s">
        <v>864</v>
      </c>
      <c r="B16" s="264"/>
      <c r="C16" s="246">
        <v>0</v>
      </c>
      <c r="D16" s="246">
        <v>0</v>
      </c>
    </row>
    <row r="17" spans="1:4" ht="12.75" customHeight="1" outlineLevel="1" x14ac:dyDescent="0.15">
      <c r="A17" s="324" t="s">
        <v>865</v>
      </c>
      <c r="B17" s="264"/>
      <c r="C17" s="246"/>
      <c r="D17" s="246"/>
    </row>
    <row r="18" spans="1:4" ht="12.75" customHeight="1" outlineLevel="1" x14ac:dyDescent="0.15">
      <c r="A18" s="324"/>
      <c r="B18" s="264"/>
      <c r="C18" s="313"/>
      <c r="D18" s="246"/>
    </row>
    <row r="19" spans="1:4" ht="12.75" customHeight="1" outlineLevel="1" x14ac:dyDescent="0.15">
      <c r="A19" s="323" t="s">
        <v>866</v>
      </c>
      <c r="B19" s="264"/>
      <c r="C19" s="246">
        <v>0</v>
      </c>
      <c r="D19" s="246">
        <f>D4-D16</f>
        <v>0</v>
      </c>
    </row>
    <row r="20" spans="1:4" ht="12.75" customHeight="1" outlineLevel="1" x14ac:dyDescent="0.15">
      <c r="A20" s="251" t="s">
        <v>867</v>
      </c>
      <c r="B20" s="264"/>
      <c r="C20" s="327">
        <v>0.3</v>
      </c>
      <c r="D20" s="327">
        <v>0.35</v>
      </c>
    </row>
    <row r="21" spans="1:4" ht="12.75" customHeight="1" outlineLevel="1" x14ac:dyDescent="0.15">
      <c r="A21" s="323"/>
      <c r="B21" s="264"/>
      <c r="C21" s="313"/>
      <c r="D21" s="246"/>
    </row>
    <row r="22" spans="1:4" ht="12.75" customHeight="1" outlineLevel="1" x14ac:dyDescent="0.15">
      <c r="A22" s="323" t="s">
        <v>868</v>
      </c>
      <c r="B22" s="264"/>
      <c r="C22" s="265">
        <f>C19*C20</f>
        <v>0</v>
      </c>
      <c r="D22" s="265">
        <f>D19*D20</f>
        <v>0</v>
      </c>
    </row>
    <row r="23" spans="1:4" ht="12.75" customHeight="1" outlineLevel="1" x14ac:dyDescent="0.15">
      <c r="A23" s="251"/>
      <c r="B23" s="264"/>
      <c r="C23" s="327"/>
      <c r="D23" s="327"/>
    </row>
    <row r="24" spans="1:4" ht="12.75" customHeight="1" outlineLevel="1" x14ac:dyDescent="0.15">
      <c r="A24" s="323" t="s">
        <v>869</v>
      </c>
      <c r="B24" s="264"/>
      <c r="C24" s="265">
        <v>0</v>
      </c>
      <c r="D24" s="328">
        <v>0</v>
      </c>
    </row>
    <row r="25" spans="1:4" ht="12.75" customHeight="1" outlineLevel="1" x14ac:dyDescent="0.15">
      <c r="A25" s="323"/>
      <c r="B25" s="264"/>
      <c r="C25" s="265"/>
      <c r="D25" s="328"/>
    </row>
    <row r="26" spans="1:4" ht="12.75" customHeight="1" outlineLevel="1" x14ac:dyDescent="0.15">
      <c r="A26" s="323" t="s">
        <v>870</v>
      </c>
      <c r="B26" s="264"/>
      <c r="C26" s="265">
        <v>0</v>
      </c>
      <c r="D26" s="329">
        <v>0</v>
      </c>
    </row>
    <row r="27" spans="1:4" ht="12.75" customHeight="1" outlineLevel="1" x14ac:dyDescent="0.15">
      <c r="A27" s="323"/>
      <c r="B27" s="264"/>
      <c r="C27" s="329"/>
      <c r="D27" s="329"/>
    </row>
    <row r="28" spans="1:4" ht="12.75" customHeight="1" outlineLevel="1" x14ac:dyDescent="0.15">
      <c r="A28" s="330" t="s">
        <v>871</v>
      </c>
      <c r="B28" s="331"/>
      <c r="C28" s="332">
        <f>C22-C24-C26</f>
        <v>0</v>
      </c>
      <c r="D28" s="332">
        <f>D22-D24-D26</f>
        <v>0</v>
      </c>
    </row>
    <row r="29" spans="1:4" ht="12.75" customHeight="1" outlineLevel="1" x14ac:dyDescent="0.15">
      <c r="A29" s="333"/>
      <c r="B29" s="334"/>
      <c r="C29" s="335"/>
      <c r="D29" s="335"/>
    </row>
    <row r="30" spans="1:4" ht="12.75" customHeight="1" outlineLevel="1" x14ac:dyDescent="0.15"/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I18" sqref="I18"/>
    </sheetView>
  </sheetViews>
  <sheetFormatPr defaultRowHeight="12.75" customHeight="1" outlineLevelRow="1" x14ac:dyDescent="0.15"/>
  <cols>
    <col min="1" max="1" width="37.140625" style="244" customWidth="1"/>
    <col min="2" max="2" width="0" style="244" hidden="1" customWidth="1"/>
    <col min="3" max="16384" width="9.140625" style="244"/>
  </cols>
  <sheetData>
    <row r="1" spans="1:4" ht="12.75" customHeight="1" outlineLevel="1" x14ac:dyDescent="0.15">
      <c r="A1" s="243" t="s">
        <v>872</v>
      </c>
    </row>
    <row r="2" spans="1:4" ht="12.75" customHeight="1" outlineLevel="1" x14ac:dyDescent="0.15">
      <c r="A2" s="470" t="s">
        <v>424</v>
      </c>
      <c r="B2" s="496"/>
      <c r="C2" s="496">
        <f>[2]Parâmetros!$F$5</f>
        <v>2012</v>
      </c>
      <c r="D2" s="468">
        <f>[2]Parâmetros!$F$6</f>
        <v>2011</v>
      </c>
    </row>
    <row r="3" spans="1:4" ht="12.75" customHeight="1" outlineLevel="1" x14ac:dyDescent="0.15">
      <c r="A3" s="504"/>
      <c r="B3" s="487"/>
      <c r="C3" s="487"/>
      <c r="D3" s="505"/>
    </row>
    <row r="4" spans="1:4" ht="12.75" customHeight="1" outlineLevel="1" x14ac:dyDescent="0.15">
      <c r="A4" s="247" t="s">
        <v>873</v>
      </c>
      <c r="B4" s="251"/>
      <c r="C4" s="246">
        <v>0</v>
      </c>
      <c r="D4" s="246">
        <v>0</v>
      </c>
    </row>
    <row r="5" spans="1:4" ht="12.75" customHeight="1" outlineLevel="1" x14ac:dyDescent="0.15">
      <c r="A5" s="247" t="s">
        <v>874</v>
      </c>
      <c r="B5" s="251"/>
      <c r="C5" s="246">
        <v>0</v>
      </c>
      <c r="D5" s="246">
        <v>0</v>
      </c>
    </row>
    <row r="6" spans="1:4" ht="12.75" customHeight="1" outlineLevel="1" x14ac:dyDescent="0.15">
      <c r="A6" s="247" t="s">
        <v>875</v>
      </c>
      <c r="B6" s="251"/>
      <c r="C6" s="246">
        <v>0</v>
      </c>
      <c r="D6" s="246">
        <v>0</v>
      </c>
    </row>
    <row r="7" spans="1:4" ht="12.75" customHeight="1" outlineLevel="1" x14ac:dyDescent="0.15">
      <c r="A7" s="247" t="s">
        <v>876</v>
      </c>
      <c r="B7" s="251"/>
      <c r="C7" s="246">
        <v>0</v>
      </c>
      <c r="D7" s="246">
        <v>0</v>
      </c>
    </row>
    <row r="8" spans="1:4" ht="12.75" customHeight="1" outlineLevel="1" x14ac:dyDescent="0.15">
      <c r="A8" s="336" t="s">
        <v>877</v>
      </c>
      <c r="B8" s="251"/>
      <c r="C8" s="246"/>
      <c r="D8" s="246"/>
    </row>
    <row r="9" spans="1:4" ht="12.75" customHeight="1" outlineLevel="1" x14ac:dyDescent="0.15">
      <c r="A9" s="336"/>
      <c r="B9" s="251"/>
      <c r="C9" s="246"/>
      <c r="D9" s="246"/>
    </row>
    <row r="10" spans="1:4" ht="12.75" customHeight="1" outlineLevel="1" x14ac:dyDescent="0.15">
      <c r="A10" s="248" t="s">
        <v>445</v>
      </c>
      <c r="B10" s="252"/>
      <c r="C10" s="249"/>
      <c r="D10" s="249"/>
    </row>
  </sheetData>
  <mergeCells count="4">
    <mergeCell ref="A2:A3"/>
    <mergeCell ref="B2:B3"/>
    <mergeCell ref="C2:C3"/>
    <mergeCell ref="D2:D3"/>
  </mergeCells>
  <pageMargins left="0.75" right="0.75" top="1" bottom="1" header="0" footer="0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4"/>
  <sheetViews>
    <sheetView topLeftCell="A151" zoomScale="90" zoomScaleNormal="90" workbookViewId="0">
      <selection activeCell="C17" sqref="C17"/>
    </sheetView>
  </sheetViews>
  <sheetFormatPr defaultRowHeight="12.75" x14ac:dyDescent="0.2"/>
  <cols>
    <col min="1" max="1" width="9" customWidth="1"/>
    <col min="2" max="2" width="59.7109375" customWidth="1"/>
    <col min="3" max="3" width="12" customWidth="1"/>
    <col min="4" max="4" width="20.140625" style="95" bestFit="1" customWidth="1"/>
    <col min="5" max="5" width="17.85546875" style="95" customWidth="1"/>
    <col min="6" max="6" width="14.42578125" bestFit="1" customWidth="1"/>
  </cols>
  <sheetData>
    <row r="1" spans="1:5" ht="13.5" thickBot="1" x14ac:dyDescent="0.25">
      <c r="A1" s="17" t="s">
        <v>125</v>
      </c>
      <c r="B1" s="17"/>
      <c r="C1" s="18"/>
      <c r="D1" s="338" t="s">
        <v>420</v>
      </c>
      <c r="E1" s="337">
        <v>2012</v>
      </c>
    </row>
    <row r="2" spans="1:5" ht="21" thickBot="1" x14ac:dyDescent="0.25">
      <c r="A2" s="19">
        <v>2</v>
      </c>
      <c r="B2" s="20" t="s">
        <v>43</v>
      </c>
      <c r="C2" s="20"/>
      <c r="D2" s="21"/>
      <c r="E2" s="21"/>
    </row>
    <row r="3" spans="1:5" ht="26.25" thickBot="1" x14ac:dyDescent="0.25">
      <c r="A3" s="22" t="s">
        <v>126</v>
      </c>
      <c r="B3" s="23" t="s">
        <v>127</v>
      </c>
      <c r="C3" s="24" t="s">
        <v>128</v>
      </c>
      <c r="D3" s="25" t="s">
        <v>129</v>
      </c>
      <c r="E3" s="25" t="s">
        <v>314</v>
      </c>
    </row>
    <row r="4" spans="1:5" ht="13.5" thickBot="1" x14ac:dyDescent="0.25">
      <c r="A4" s="26" t="s">
        <v>130</v>
      </c>
      <c r="B4" s="27" t="s">
        <v>131</v>
      </c>
      <c r="C4" s="28">
        <v>6</v>
      </c>
      <c r="D4" s="29">
        <f>+SUM(D5:D8)</f>
        <v>0</v>
      </c>
      <c r="E4" s="29">
        <f>+SUM(E5:E8)</f>
        <v>0</v>
      </c>
    </row>
    <row r="5" spans="1:5" ht="13.5" thickBot="1" x14ac:dyDescent="0.25">
      <c r="A5" s="30" t="s">
        <v>132</v>
      </c>
      <c r="B5" s="31" t="s">
        <v>133</v>
      </c>
      <c r="C5" s="32" t="s">
        <v>134</v>
      </c>
      <c r="D5" s="33">
        <v>0</v>
      </c>
      <c r="E5" s="33">
        <v>0</v>
      </c>
    </row>
    <row r="6" spans="1:5" ht="13.5" thickBot="1" x14ac:dyDescent="0.25">
      <c r="A6" s="30" t="s">
        <v>135</v>
      </c>
      <c r="B6" s="31" t="s">
        <v>136</v>
      </c>
      <c r="C6" s="32" t="s">
        <v>137</v>
      </c>
      <c r="D6" s="33">
        <v>0</v>
      </c>
      <c r="E6" s="33">
        <v>0</v>
      </c>
    </row>
    <row r="7" spans="1:5" ht="13.5" thickBot="1" x14ac:dyDescent="0.25">
      <c r="A7" s="30" t="s">
        <v>138</v>
      </c>
      <c r="B7" s="31" t="s">
        <v>45</v>
      </c>
      <c r="C7" s="32">
        <v>62</v>
      </c>
      <c r="D7" s="33">
        <v>0</v>
      </c>
      <c r="E7" s="33">
        <v>0</v>
      </c>
    </row>
    <row r="8" spans="1:5" ht="13.5" thickBot="1" x14ac:dyDescent="0.25">
      <c r="A8" s="30" t="s">
        <v>139</v>
      </c>
      <c r="B8" s="31" t="s">
        <v>46</v>
      </c>
      <c r="C8" s="32">
        <v>63</v>
      </c>
      <c r="D8" s="33">
        <v>0</v>
      </c>
      <c r="E8" s="33">
        <v>0</v>
      </c>
    </row>
    <row r="9" spans="1:5" ht="13.5" thickBot="1" x14ac:dyDescent="0.25">
      <c r="A9" s="34"/>
      <c r="B9" s="35"/>
      <c r="C9" s="32"/>
      <c r="D9" s="33"/>
      <c r="E9" s="33"/>
    </row>
    <row r="10" spans="1:5" ht="16.5" thickBot="1" x14ac:dyDescent="0.25">
      <c r="A10" s="36" t="s">
        <v>140</v>
      </c>
      <c r="B10" s="37" t="s">
        <v>141</v>
      </c>
      <c r="C10" s="38"/>
      <c r="D10" s="39">
        <f>SUM(D5:D8)</f>
        <v>0</v>
      </c>
      <c r="E10" s="39">
        <f>SUM(E5:E8)</f>
        <v>0</v>
      </c>
    </row>
    <row r="11" spans="1:5" ht="13.5" thickBot="1" x14ac:dyDescent="0.25">
      <c r="A11" s="30" t="s">
        <v>142</v>
      </c>
      <c r="B11" s="40" t="s">
        <v>143</v>
      </c>
      <c r="C11" s="32">
        <v>64</v>
      </c>
      <c r="D11" s="33">
        <v>0</v>
      </c>
      <c r="E11" s="33">
        <v>0</v>
      </c>
    </row>
    <row r="12" spans="1:5" ht="15" customHeight="1" thickBot="1" x14ac:dyDescent="0.25">
      <c r="A12" s="30" t="s">
        <v>144</v>
      </c>
      <c r="B12" s="31" t="s">
        <v>48</v>
      </c>
      <c r="C12" s="32">
        <v>65</v>
      </c>
      <c r="D12" s="33">
        <v>0</v>
      </c>
      <c r="E12" s="33">
        <v>0</v>
      </c>
    </row>
    <row r="13" spans="1:5" ht="13.5" thickBot="1" x14ac:dyDescent="0.25">
      <c r="A13" s="30" t="s">
        <v>145</v>
      </c>
      <c r="B13" s="31" t="s">
        <v>146</v>
      </c>
      <c r="C13" s="32">
        <v>66</v>
      </c>
      <c r="D13" s="33">
        <v>0</v>
      </c>
      <c r="E13" s="33">
        <v>0</v>
      </c>
    </row>
    <row r="14" spans="1:5" ht="13.5" thickBot="1" x14ac:dyDescent="0.25">
      <c r="A14" s="30" t="s">
        <v>147</v>
      </c>
      <c r="B14" s="31" t="s">
        <v>148</v>
      </c>
      <c r="C14" s="32">
        <v>67</v>
      </c>
      <c r="D14" s="33">
        <v>0</v>
      </c>
      <c r="E14" s="33">
        <v>0</v>
      </c>
    </row>
    <row r="15" spans="1:5" ht="13.5" thickBot="1" x14ac:dyDescent="0.25">
      <c r="A15" s="30" t="s">
        <v>149</v>
      </c>
      <c r="B15" s="31" t="s">
        <v>150</v>
      </c>
      <c r="C15" s="32">
        <v>68</v>
      </c>
      <c r="D15" s="33">
        <v>0</v>
      </c>
      <c r="E15" s="33">
        <v>0</v>
      </c>
    </row>
    <row r="16" spans="1:5" ht="13.5" thickBot="1" x14ac:dyDescent="0.25">
      <c r="A16" s="30" t="s">
        <v>151</v>
      </c>
      <c r="B16" s="31" t="s">
        <v>152</v>
      </c>
      <c r="C16" s="32">
        <v>69</v>
      </c>
      <c r="D16" s="33">
        <v>0</v>
      </c>
      <c r="E16" s="33">
        <v>0</v>
      </c>
    </row>
    <row r="17" spans="1:6" ht="13.5" thickBot="1" x14ac:dyDescent="0.25">
      <c r="A17" s="34"/>
      <c r="B17" s="35"/>
      <c r="C17" s="32"/>
      <c r="D17" s="33"/>
      <c r="E17" s="33"/>
    </row>
    <row r="18" spans="1:6" ht="16.5" thickBot="1" x14ac:dyDescent="0.25">
      <c r="A18" s="36" t="s">
        <v>153</v>
      </c>
      <c r="B18" s="37" t="s">
        <v>154</v>
      </c>
      <c r="C18" s="38"/>
      <c r="D18" s="41">
        <f>+SUM(D11:D16)</f>
        <v>0</v>
      </c>
      <c r="E18" s="41">
        <f>+SUM(E11:E16)</f>
        <v>0</v>
      </c>
    </row>
    <row r="19" spans="1:6" ht="16.5" thickBot="1" x14ac:dyDescent="0.25">
      <c r="A19" s="36" t="s">
        <v>155</v>
      </c>
      <c r="B19" s="37" t="s">
        <v>156</v>
      </c>
      <c r="C19" s="38"/>
      <c r="D19" s="39">
        <f>+D10+D18</f>
        <v>0</v>
      </c>
      <c r="E19" s="39">
        <f>+E10+E18</f>
        <v>0</v>
      </c>
    </row>
    <row r="20" spans="1:6" ht="13.5" thickBot="1" x14ac:dyDescent="0.25">
      <c r="A20" s="26" t="s">
        <v>157</v>
      </c>
      <c r="B20" s="27" t="s">
        <v>158</v>
      </c>
      <c r="C20" s="42">
        <v>7</v>
      </c>
      <c r="D20" s="43">
        <f>+SUM(D21:D31)</f>
        <v>0</v>
      </c>
      <c r="E20" s="43">
        <f>+SUM(E21:E31)</f>
        <v>0</v>
      </c>
    </row>
    <row r="21" spans="1:6" ht="13.5" thickBot="1" x14ac:dyDescent="0.25">
      <c r="A21" s="30" t="s">
        <v>159</v>
      </c>
      <c r="B21" s="44" t="s">
        <v>160</v>
      </c>
      <c r="C21" s="32">
        <v>71</v>
      </c>
      <c r="D21" s="33">
        <v>0</v>
      </c>
      <c r="E21" s="33">
        <v>0</v>
      </c>
    </row>
    <row r="22" spans="1:6" ht="13.5" thickBot="1" x14ac:dyDescent="0.25">
      <c r="A22" s="30" t="s">
        <v>161</v>
      </c>
      <c r="B22" s="44" t="s">
        <v>50</v>
      </c>
      <c r="C22" s="32">
        <v>72</v>
      </c>
      <c r="D22" s="33">
        <v>0</v>
      </c>
      <c r="E22" s="33">
        <v>0</v>
      </c>
    </row>
    <row r="23" spans="1:6" ht="13.5" thickBot="1" x14ac:dyDescent="0.25">
      <c r="A23" s="30" t="s">
        <v>162</v>
      </c>
      <c r="B23" s="44" t="s">
        <v>163</v>
      </c>
      <c r="C23" s="32">
        <v>73</v>
      </c>
      <c r="D23" s="33">
        <v>0</v>
      </c>
      <c r="E23" s="33">
        <v>0</v>
      </c>
    </row>
    <row r="24" spans="1:6" ht="13.5" thickBot="1" x14ac:dyDescent="0.25">
      <c r="A24" s="30" t="s">
        <v>164</v>
      </c>
      <c r="B24" s="44" t="s">
        <v>165</v>
      </c>
      <c r="C24" s="32" t="s">
        <v>166</v>
      </c>
      <c r="D24" s="33">
        <v>0</v>
      </c>
      <c r="E24" s="33">
        <v>0</v>
      </c>
    </row>
    <row r="25" spans="1:6" ht="13.5" thickBot="1" x14ac:dyDescent="0.25">
      <c r="A25" s="30" t="s">
        <v>167</v>
      </c>
      <c r="B25" s="44" t="s">
        <v>168</v>
      </c>
      <c r="C25" s="32" t="s">
        <v>169</v>
      </c>
      <c r="D25" s="33">
        <v>0</v>
      </c>
      <c r="E25" s="33">
        <v>0</v>
      </c>
      <c r="F25" s="45"/>
    </row>
    <row r="26" spans="1:6" ht="13.5" thickBot="1" x14ac:dyDescent="0.25">
      <c r="A26" s="30" t="s">
        <v>170</v>
      </c>
      <c r="B26" s="44" t="s">
        <v>171</v>
      </c>
      <c r="C26" s="32" t="s">
        <v>172</v>
      </c>
      <c r="D26" s="33">
        <v>0</v>
      </c>
      <c r="E26" s="33">
        <v>0</v>
      </c>
    </row>
    <row r="27" spans="1:6" ht="13.5" thickBot="1" x14ac:dyDescent="0.25">
      <c r="A27" s="30" t="s">
        <v>173</v>
      </c>
      <c r="B27" s="44" t="s">
        <v>52</v>
      </c>
      <c r="C27" s="32" t="s">
        <v>174</v>
      </c>
      <c r="D27" s="33">
        <v>0</v>
      </c>
      <c r="E27" s="33">
        <v>0</v>
      </c>
      <c r="F27" s="45"/>
    </row>
    <row r="28" spans="1:6" ht="13.5" thickBot="1" x14ac:dyDescent="0.25">
      <c r="A28" s="30" t="s">
        <v>175</v>
      </c>
      <c r="B28" s="44" t="s">
        <v>176</v>
      </c>
      <c r="C28" s="32">
        <v>76</v>
      </c>
      <c r="D28" s="33">
        <v>0</v>
      </c>
      <c r="E28" s="33">
        <v>0</v>
      </c>
    </row>
    <row r="29" spans="1:6" ht="13.5" thickBot="1" x14ac:dyDescent="0.25">
      <c r="A29" s="30" t="s">
        <v>177</v>
      </c>
      <c r="B29" s="44" t="s">
        <v>178</v>
      </c>
      <c r="C29" s="32">
        <v>77</v>
      </c>
      <c r="D29" s="33">
        <v>0</v>
      </c>
      <c r="E29" s="33">
        <v>0</v>
      </c>
    </row>
    <row r="30" spans="1:6" ht="13.5" thickBot="1" x14ac:dyDescent="0.25">
      <c r="A30" s="30" t="s">
        <v>179</v>
      </c>
      <c r="B30" s="44" t="s">
        <v>180</v>
      </c>
      <c r="C30" s="32">
        <v>78</v>
      </c>
      <c r="D30" s="33">
        <v>0</v>
      </c>
      <c r="E30" s="33">
        <v>0</v>
      </c>
    </row>
    <row r="31" spans="1:6" ht="13.5" thickBot="1" x14ac:dyDescent="0.25">
      <c r="A31" s="30" t="s">
        <v>181</v>
      </c>
      <c r="B31" s="44" t="s">
        <v>182</v>
      </c>
      <c r="C31" s="32">
        <v>79</v>
      </c>
      <c r="D31" s="33">
        <v>0</v>
      </c>
      <c r="E31" s="33">
        <v>0</v>
      </c>
    </row>
    <row r="32" spans="1:6" ht="13.5" thickBot="1" x14ac:dyDescent="0.25">
      <c r="A32" s="34"/>
      <c r="B32" s="35"/>
      <c r="C32" s="46"/>
      <c r="D32" s="33"/>
      <c r="E32" s="33"/>
    </row>
    <row r="33" spans="1:5" ht="16.5" thickBot="1" x14ac:dyDescent="0.25">
      <c r="A33" s="36" t="s">
        <v>183</v>
      </c>
      <c r="B33" s="37" t="s">
        <v>184</v>
      </c>
      <c r="C33" s="24"/>
      <c r="D33" s="39">
        <f>+SUM(D21:D31)</f>
        <v>0</v>
      </c>
      <c r="E33" s="39">
        <f>+SUM(E21:E31)</f>
        <v>0</v>
      </c>
    </row>
    <row r="34" spans="1:5" ht="16.5" thickBot="1" x14ac:dyDescent="0.25">
      <c r="A34" s="36" t="s">
        <v>185</v>
      </c>
      <c r="B34" s="40" t="s">
        <v>186</v>
      </c>
      <c r="C34" s="46"/>
      <c r="D34" s="33">
        <f>+D19-D33</f>
        <v>0</v>
      </c>
      <c r="E34" s="33">
        <f>+E19-E33</f>
        <v>0</v>
      </c>
    </row>
    <row r="35" spans="1:5" ht="16.5" thickBot="1" x14ac:dyDescent="0.25">
      <c r="A35" s="36" t="s">
        <v>187</v>
      </c>
      <c r="B35" s="35" t="s">
        <v>188</v>
      </c>
      <c r="C35" s="46"/>
      <c r="D35" s="33">
        <v>0</v>
      </c>
      <c r="E35" s="33">
        <v>0</v>
      </c>
    </row>
    <row r="36" spans="1:5" ht="16.5" thickBot="1" x14ac:dyDescent="0.25">
      <c r="A36" s="47" t="s">
        <v>189</v>
      </c>
      <c r="B36" s="48" t="s">
        <v>190</v>
      </c>
      <c r="C36" s="49"/>
      <c r="D36" s="50">
        <f>+D34-D35</f>
        <v>0</v>
      </c>
      <c r="E36" s="50">
        <f>+E34-E35</f>
        <v>0</v>
      </c>
    </row>
    <row r="37" spans="1:5" ht="13.5" thickBot="1" x14ac:dyDescent="0.25">
      <c r="A37" s="51"/>
      <c r="B37" s="52"/>
      <c r="C37" s="53"/>
      <c r="D37" s="54"/>
      <c r="E37" s="54"/>
    </row>
    <row r="38" spans="1:5" ht="21" thickBot="1" x14ac:dyDescent="0.25">
      <c r="A38" s="19">
        <v>5</v>
      </c>
      <c r="B38" s="20" t="s">
        <v>191</v>
      </c>
      <c r="C38" s="20"/>
      <c r="D38" s="21"/>
      <c r="E38" s="21"/>
    </row>
    <row r="39" spans="1:5" ht="26.25" thickBot="1" x14ac:dyDescent="0.25">
      <c r="A39" s="55"/>
      <c r="B39" s="56" t="s">
        <v>127</v>
      </c>
      <c r="C39" s="57"/>
      <c r="D39" s="25" t="s">
        <v>129</v>
      </c>
      <c r="E39" s="25" t="s">
        <v>129</v>
      </c>
    </row>
    <row r="40" spans="1:5" ht="67.5" x14ac:dyDescent="0.2">
      <c r="A40" s="58" t="s">
        <v>192</v>
      </c>
      <c r="B40" s="59" t="s">
        <v>193</v>
      </c>
      <c r="C40" s="60"/>
      <c r="D40" s="61">
        <v>0</v>
      </c>
      <c r="E40" s="61">
        <v>0</v>
      </c>
    </row>
    <row r="41" spans="1:5" x14ac:dyDescent="0.2">
      <c r="A41" s="62"/>
      <c r="B41" s="63" t="s">
        <v>194</v>
      </c>
      <c r="C41" s="64"/>
      <c r="D41" s="33">
        <v>0</v>
      </c>
      <c r="E41" s="33">
        <v>0</v>
      </c>
    </row>
    <row r="42" spans="1:5" x14ac:dyDescent="0.2">
      <c r="A42" s="62"/>
      <c r="B42" s="63" t="s">
        <v>195</v>
      </c>
      <c r="C42" s="64"/>
      <c r="D42" s="33">
        <v>0</v>
      </c>
      <c r="E42" s="33">
        <v>0</v>
      </c>
    </row>
    <row r="43" spans="1:5" x14ac:dyDescent="0.2">
      <c r="A43" s="62"/>
      <c r="B43" s="63" t="s">
        <v>196</v>
      </c>
      <c r="C43" s="64"/>
      <c r="D43" s="33">
        <v>0</v>
      </c>
      <c r="E43" s="33">
        <v>0</v>
      </c>
    </row>
    <row r="44" spans="1:5" x14ac:dyDescent="0.2">
      <c r="A44" s="62"/>
      <c r="B44" s="63" t="s">
        <v>197</v>
      </c>
      <c r="C44" s="64"/>
      <c r="D44" s="33">
        <v>0</v>
      </c>
      <c r="E44" s="33">
        <v>0</v>
      </c>
    </row>
    <row r="45" spans="1:5" x14ac:dyDescent="0.2">
      <c r="A45" s="62"/>
      <c r="B45" s="63" t="s">
        <v>198</v>
      </c>
      <c r="C45" s="64"/>
      <c r="D45" s="33">
        <v>0</v>
      </c>
      <c r="E45" s="33">
        <v>0</v>
      </c>
    </row>
    <row r="46" spans="1:5" x14ac:dyDescent="0.2">
      <c r="A46" s="62"/>
      <c r="B46" s="63" t="s">
        <v>199</v>
      </c>
      <c r="C46" s="64"/>
      <c r="D46" s="33">
        <v>0</v>
      </c>
      <c r="E46" s="33">
        <v>0</v>
      </c>
    </row>
    <row r="47" spans="1:5" x14ac:dyDescent="0.2">
      <c r="A47" s="62"/>
      <c r="B47" s="63" t="s">
        <v>200</v>
      </c>
      <c r="C47" s="64"/>
      <c r="D47" s="33">
        <v>0</v>
      </c>
      <c r="E47" s="33">
        <v>0</v>
      </c>
    </row>
    <row r="48" spans="1:5" ht="16.5" customHeight="1" x14ac:dyDescent="0.2">
      <c r="A48" s="62"/>
      <c r="B48" s="63" t="s">
        <v>201</v>
      </c>
      <c r="C48" s="64"/>
      <c r="D48" s="33">
        <v>0</v>
      </c>
      <c r="E48" s="33">
        <v>0</v>
      </c>
    </row>
    <row r="49" spans="1:5" ht="12.75" customHeight="1" x14ac:dyDescent="0.2">
      <c r="A49" s="62"/>
      <c r="B49" s="63" t="s">
        <v>202</v>
      </c>
      <c r="C49" s="64"/>
      <c r="D49" s="33">
        <v>0</v>
      </c>
      <c r="E49" s="33">
        <v>0</v>
      </c>
    </row>
    <row r="50" spans="1:5" ht="13.5" thickBot="1" x14ac:dyDescent="0.25">
      <c r="A50" s="62"/>
      <c r="B50" s="65" t="s">
        <v>203</v>
      </c>
      <c r="C50" s="66"/>
      <c r="D50" s="67">
        <v>0</v>
      </c>
      <c r="E50" s="67">
        <v>0</v>
      </c>
    </row>
    <row r="51" spans="1:5" ht="13.5" thickBot="1" x14ac:dyDescent="0.25">
      <c r="A51" s="62"/>
      <c r="B51" s="68" t="s">
        <v>204</v>
      </c>
      <c r="C51" s="69"/>
      <c r="D51" s="70">
        <f>SUM(D40:D50)</f>
        <v>0</v>
      </c>
      <c r="E51" s="70">
        <f>SUM(E40:E50)</f>
        <v>0</v>
      </c>
    </row>
    <row r="52" spans="1:5" ht="68.25" customHeight="1" thickBot="1" x14ac:dyDescent="0.25">
      <c r="A52" s="58" t="s">
        <v>205</v>
      </c>
      <c r="B52" s="71" t="s">
        <v>206</v>
      </c>
      <c r="C52" s="53"/>
      <c r="D52" s="72">
        <v>0</v>
      </c>
      <c r="E52" s="72">
        <v>0</v>
      </c>
    </row>
    <row r="53" spans="1:5" ht="13.5" customHeight="1" thickBot="1" x14ac:dyDescent="0.25">
      <c r="A53" s="73"/>
      <c r="B53" s="68" t="s">
        <v>207</v>
      </c>
      <c r="C53" s="69"/>
      <c r="D53" s="70">
        <f>+D52</f>
        <v>0</v>
      </c>
      <c r="E53" s="70">
        <f>+E52</f>
        <v>0</v>
      </c>
    </row>
    <row r="54" spans="1:5" ht="13.5" thickBot="1" x14ac:dyDescent="0.25">
      <c r="A54" s="74"/>
      <c r="B54" s="75" t="s">
        <v>208</v>
      </c>
      <c r="C54" s="69"/>
      <c r="D54" s="41">
        <f>+D36+D51-D53</f>
        <v>0</v>
      </c>
      <c r="E54" s="41">
        <f>+E36+E51-E53</f>
        <v>0</v>
      </c>
    </row>
    <row r="55" spans="1:5" ht="21" thickBot="1" x14ac:dyDescent="0.25">
      <c r="A55" s="76">
        <v>6</v>
      </c>
      <c r="B55" s="77" t="s">
        <v>209</v>
      </c>
      <c r="C55" s="77"/>
      <c r="D55" s="78"/>
      <c r="E55" s="78"/>
    </row>
    <row r="56" spans="1:5" ht="16.5" thickBot="1" x14ac:dyDescent="0.25">
      <c r="A56" s="36" t="s">
        <v>210</v>
      </c>
      <c r="B56" s="79" t="s">
        <v>211</v>
      </c>
      <c r="C56" s="60"/>
      <c r="D56" s="80">
        <f>+IF(D54&gt;0,D54,0)</f>
        <v>0</v>
      </c>
      <c r="E56" s="80">
        <f>+IF(E54&gt;0,E54,0)</f>
        <v>0</v>
      </c>
    </row>
    <row r="57" spans="1:5" ht="13.5" thickBot="1" x14ac:dyDescent="0.25">
      <c r="A57" s="55"/>
      <c r="B57" s="65" t="s">
        <v>212</v>
      </c>
      <c r="C57" s="66"/>
      <c r="D57" s="67">
        <f>+IF(D54&lt;0,D54,0)</f>
        <v>0</v>
      </c>
      <c r="E57" s="67">
        <f>+IF(E54&lt;0,E54,0)</f>
        <v>0</v>
      </c>
    </row>
    <row r="58" spans="1:5" ht="13.5" thickBot="1" x14ac:dyDescent="0.25">
      <c r="A58" s="55"/>
      <c r="B58" s="81" t="s">
        <v>213</v>
      </c>
      <c r="C58" s="82"/>
      <c r="D58" s="83"/>
      <c r="E58" s="83"/>
    </row>
    <row r="59" spans="1:5" ht="13.5" thickBot="1" x14ac:dyDescent="0.25">
      <c r="A59" s="55"/>
      <c r="B59" s="79" t="s">
        <v>214</v>
      </c>
      <c r="C59" s="60"/>
      <c r="D59" s="80">
        <v>0</v>
      </c>
      <c r="E59" s="80">
        <v>0</v>
      </c>
    </row>
    <row r="60" spans="1:5" ht="13.5" thickBot="1" x14ac:dyDescent="0.25">
      <c r="A60" s="55"/>
      <c r="B60" s="63" t="s">
        <v>215</v>
      </c>
      <c r="C60" s="64"/>
      <c r="D60" s="33">
        <v>0</v>
      </c>
      <c r="E60" s="33">
        <v>0</v>
      </c>
    </row>
    <row r="61" spans="1:5" ht="13.5" customHeight="1" thickBot="1" x14ac:dyDescent="0.25">
      <c r="A61" s="55"/>
      <c r="B61" s="65" t="s">
        <v>216</v>
      </c>
      <c r="C61" s="66"/>
      <c r="D61" s="67">
        <f>-E57</f>
        <v>0</v>
      </c>
      <c r="E61" s="67">
        <v>0</v>
      </c>
    </row>
    <row r="62" spans="1:5" ht="13.5" thickBot="1" x14ac:dyDescent="0.25">
      <c r="A62" s="55"/>
      <c r="B62" s="81" t="s">
        <v>217</v>
      </c>
      <c r="C62" s="82"/>
      <c r="D62" s="83"/>
      <c r="E62" s="83"/>
    </row>
    <row r="63" spans="1:5" ht="16.5" thickBot="1" x14ac:dyDescent="0.25">
      <c r="A63" s="36" t="s">
        <v>80</v>
      </c>
      <c r="B63" s="79" t="s">
        <v>218</v>
      </c>
      <c r="C63" s="60"/>
      <c r="D63" s="80">
        <f>+SUM(D59:D61)-D57</f>
        <v>0</v>
      </c>
      <c r="E63" s="80">
        <f>+SUM(E59:E61)</f>
        <v>0</v>
      </c>
    </row>
    <row r="64" spans="1:5" ht="16.5" thickBot="1" x14ac:dyDescent="0.25">
      <c r="A64" s="36" t="s">
        <v>219</v>
      </c>
      <c r="B64" s="63" t="s">
        <v>220</v>
      </c>
      <c r="C64" s="63"/>
      <c r="D64" s="33">
        <v>0</v>
      </c>
      <c r="E64" s="33">
        <v>0</v>
      </c>
    </row>
    <row r="65" spans="1:5" ht="16.5" thickBot="1" x14ac:dyDescent="0.25">
      <c r="A65" s="36" t="s">
        <v>221</v>
      </c>
      <c r="B65" s="84" t="s">
        <v>222</v>
      </c>
      <c r="C65" s="66"/>
      <c r="D65" s="67">
        <f>+D56-D63+D64</f>
        <v>0</v>
      </c>
      <c r="E65" s="67">
        <f>+E56-E63+E64</f>
        <v>0</v>
      </c>
    </row>
    <row r="66" spans="1:5" ht="21" thickBot="1" x14ac:dyDescent="0.25">
      <c r="A66" s="85">
        <v>7</v>
      </c>
      <c r="B66" s="86" t="s">
        <v>223</v>
      </c>
      <c r="C66" s="87"/>
      <c r="D66" s="88"/>
      <c r="E66" s="88"/>
    </row>
    <row r="67" spans="1:5" ht="13.5" thickBot="1" x14ac:dyDescent="0.25">
      <c r="A67" s="55"/>
      <c r="B67" s="79" t="s">
        <v>224</v>
      </c>
      <c r="C67" s="60"/>
      <c r="D67" s="80">
        <f>+IF(D65&gt;=0,D65*0.35,0)</f>
        <v>0</v>
      </c>
      <c r="E67" s="80">
        <f>+IF(E65&gt;=0,E65*0.35,0)</f>
        <v>0</v>
      </c>
    </row>
    <row r="68" spans="1:5" ht="13.5" thickBot="1" x14ac:dyDescent="0.25">
      <c r="A68" s="55"/>
      <c r="B68" s="65" t="s">
        <v>225</v>
      </c>
      <c r="C68" s="66"/>
      <c r="D68" s="67"/>
      <c r="E68" s="67"/>
    </row>
    <row r="69" spans="1:5" ht="18.75" thickBot="1" x14ac:dyDescent="0.25">
      <c r="A69" s="36" t="s">
        <v>226</v>
      </c>
      <c r="B69" s="89" t="s">
        <v>227</v>
      </c>
      <c r="C69" s="89"/>
      <c r="D69" s="41">
        <f>+D67</f>
        <v>0</v>
      </c>
      <c r="E69" s="41">
        <f>+E67</f>
        <v>0</v>
      </c>
    </row>
    <row r="70" spans="1:5" ht="21" thickBot="1" x14ac:dyDescent="0.25">
      <c r="A70" s="90"/>
      <c r="B70" s="512" t="s">
        <v>228</v>
      </c>
      <c r="C70" s="512"/>
      <c r="D70" s="513"/>
      <c r="E70" s="41"/>
    </row>
    <row r="71" spans="1:5" ht="13.5" thickBot="1" x14ac:dyDescent="0.25">
      <c r="A71" s="55"/>
      <c r="B71" s="79" t="s">
        <v>229</v>
      </c>
      <c r="C71" s="60"/>
      <c r="D71" s="80"/>
      <c r="E71" s="80"/>
    </row>
    <row r="72" spans="1:5" ht="13.5" thickBot="1" x14ac:dyDescent="0.25">
      <c r="A72" s="55"/>
      <c r="B72" s="63" t="s">
        <v>230</v>
      </c>
      <c r="C72" s="64"/>
      <c r="D72" s="33"/>
      <c r="E72" s="33"/>
    </row>
    <row r="73" spans="1:5" ht="13.5" thickBot="1" x14ac:dyDescent="0.25">
      <c r="A73" s="55"/>
      <c r="B73" s="63" t="s">
        <v>231</v>
      </c>
      <c r="C73" s="64"/>
      <c r="D73" s="33">
        <v>0</v>
      </c>
      <c r="E73" s="33">
        <v>0</v>
      </c>
    </row>
    <row r="74" spans="1:5" ht="13.5" thickBot="1" x14ac:dyDescent="0.25">
      <c r="A74" s="55"/>
      <c r="B74" s="63" t="s">
        <v>232</v>
      </c>
      <c r="C74" s="64"/>
      <c r="D74" s="33">
        <v>0</v>
      </c>
      <c r="E74" s="33">
        <v>0</v>
      </c>
    </row>
    <row r="75" spans="1:5" ht="13.5" thickBot="1" x14ac:dyDescent="0.25">
      <c r="A75" s="55"/>
      <c r="B75" s="65"/>
      <c r="C75" s="66"/>
      <c r="D75" s="67"/>
      <c r="E75" s="67"/>
    </row>
    <row r="76" spans="1:5" ht="16.5" thickBot="1" x14ac:dyDescent="0.25">
      <c r="A76" s="36" t="s">
        <v>233</v>
      </c>
      <c r="B76" s="514" t="s">
        <v>234</v>
      </c>
      <c r="C76" s="515"/>
      <c r="D76" s="91">
        <f>+SUM(D71:D74)</f>
        <v>0</v>
      </c>
      <c r="E76" s="91">
        <f>+SUM(E71:E74)</f>
        <v>0</v>
      </c>
    </row>
    <row r="77" spans="1:5" ht="18.75" thickBot="1" x14ac:dyDescent="0.25">
      <c r="A77" s="92"/>
      <c r="B77" s="516" t="s">
        <v>235</v>
      </c>
      <c r="C77" s="517"/>
      <c r="D77" s="93"/>
      <c r="E77" s="93"/>
    </row>
    <row r="78" spans="1:5" ht="18.75" thickBot="1" x14ac:dyDescent="0.25">
      <c r="A78" s="92"/>
      <c r="B78" s="516" t="s">
        <v>236</v>
      </c>
      <c r="C78" s="517"/>
      <c r="D78" s="94">
        <f>+D67-D74</f>
        <v>0</v>
      </c>
      <c r="E78" s="94">
        <f>+E67-E74</f>
        <v>0</v>
      </c>
    </row>
    <row r="79" spans="1:5" ht="13.5" thickBot="1" x14ac:dyDescent="0.25"/>
    <row r="80" spans="1:5" ht="24" thickBot="1" x14ac:dyDescent="0.25">
      <c r="A80" s="96">
        <v>3</v>
      </c>
      <c r="B80" s="518" t="s">
        <v>237</v>
      </c>
      <c r="C80" s="519"/>
      <c r="D80" s="520"/>
      <c r="E80" s="130"/>
    </row>
    <row r="81" spans="1:5" ht="15.75" x14ac:dyDescent="0.25">
      <c r="A81" s="97"/>
      <c r="B81" s="510" t="s">
        <v>127</v>
      </c>
      <c r="C81" s="98" t="s">
        <v>238</v>
      </c>
      <c r="D81" s="99" t="s">
        <v>239</v>
      </c>
      <c r="E81" s="99" t="s">
        <v>239</v>
      </c>
    </row>
    <row r="82" spans="1:5" ht="15.75" x14ac:dyDescent="0.25">
      <c r="A82" s="97"/>
      <c r="B82" s="511"/>
      <c r="C82" s="100" t="s">
        <v>240</v>
      </c>
      <c r="D82" s="101" t="s">
        <v>241</v>
      </c>
      <c r="E82" s="101" t="s">
        <v>241</v>
      </c>
    </row>
    <row r="83" spans="1:5" x14ac:dyDescent="0.2">
      <c r="A83" s="97"/>
      <c r="B83" s="102" t="s">
        <v>242</v>
      </c>
      <c r="C83" s="103" t="s">
        <v>243</v>
      </c>
      <c r="D83" s="33">
        <v>0</v>
      </c>
      <c r="E83" s="33">
        <v>0</v>
      </c>
    </row>
    <row r="84" spans="1:5" x14ac:dyDescent="0.2">
      <c r="A84" s="97"/>
      <c r="B84" s="104" t="s">
        <v>244</v>
      </c>
      <c r="C84" s="105" t="s">
        <v>245</v>
      </c>
      <c r="D84" s="33">
        <v>0</v>
      </c>
      <c r="E84" s="33">
        <v>0</v>
      </c>
    </row>
    <row r="85" spans="1:5" x14ac:dyDescent="0.2">
      <c r="A85" s="97"/>
      <c r="B85" s="104" t="s">
        <v>246</v>
      </c>
      <c r="C85" s="105" t="s">
        <v>247</v>
      </c>
      <c r="D85" s="33">
        <v>0</v>
      </c>
      <c r="E85" s="33">
        <v>0</v>
      </c>
    </row>
    <row r="86" spans="1:5" x14ac:dyDescent="0.2">
      <c r="A86" s="97"/>
      <c r="B86" s="104" t="s">
        <v>248</v>
      </c>
      <c r="C86" s="105" t="s">
        <v>249</v>
      </c>
      <c r="D86" s="33">
        <v>0</v>
      </c>
      <c r="E86" s="33">
        <v>0</v>
      </c>
    </row>
    <row r="87" spans="1:5" x14ac:dyDescent="0.2">
      <c r="A87" s="97"/>
      <c r="B87" s="104" t="s">
        <v>250</v>
      </c>
      <c r="C87" s="105" t="s">
        <v>251</v>
      </c>
      <c r="D87" s="33">
        <v>0</v>
      </c>
      <c r="E87" s="33">
        <v>0</v>
      </c>
    </row>
    <row r="88" spans="1:5" x14ac:dyDescent="0.2">
      <c r="A88" s="97"/>
      <c r="B88" s="104" t="s">
        <v>252</v>
      </c>
      <c r="C88" s="105" t="s">
        <v>253</v>
      </c>
      <c r="D88" s="33">
        <v>0</v>
      </c>
      <c r="E88" s="33">
        <v>0</v>
      </c>
    </row>
    <row r="89" spans="1:5" x14ac:dyDescent="0.2">
      <c r="A89" s="97"/>
      <c r="B89" s="104" t="s">
        <v>254</v>
      </c>
      <c r="C89" s="105" t="s">
        <v>255</v>
      </c>
      <c r="D89" s="33">
        <v>0</v>
      </c>
      <c r="E89" s="33">
        <v>0</v>
      </c>
    </row>
    <row r="90" spans="1:5" x14ac:dyDescent="0.2">
      <c r="A90" s="97"/>
      <c r="B90" s="104" t="s">
        <v>256</v>
      </c>
      <c r="C90" s="105" t="s">
        <v>257</v>
      </c>
      <c r="D90" s="33">
        <v>0</v>
      </c>
      <c r="E90" s="33">
        <v>0</v>
      </c>
    </row>
    <row r="91" spans="1:5" x14ac:dyDescent="0.2">
      <c r="A91" s="97"/>
      <c r="B91" s="104" t="s">
        <v>258</v>
      </c>
      <c r="C91" s="105" t="s">
        <v>259</v>
      </c>
      <c r="D91" s="33">
        <v>0</v>
      </c>
      <c r="E91" s="33">
        <v>0</v>
      </c>
    </row>
    <row r="92" spans="1:5" x14ac:dyDescent="0.2">
      <c r="A92" s="97"/>
      <c r="B92" s="106"/>
      <c r="C92" s="107"/>
      <c r="D92" s="108"/>
      <c r="E92" s="108"/>
    </row>
    <row r="93" spans="1:5" ht="16.5" thickBot="1" x14ac:dyDescent="0.3">
      <c r="A93" s="109"/>
      <c r="B93" s="110" t="s">
        <v>260</v>
      </c>
      <c r="C93" s="111"/>
      <c r="D93" s="112">
        <f>SUM(D83:D91)</f>
        <v>0</v>
      </c>
      <c r="E93" s="112">
        <f>SUM(E83:E91)</f>
        <v>0</v>
      </c>
    </row>
    <row r="94" spans="1:5" ht="24" thickBot="1" x14ac:dyDescent="0.25">
      <c r="A94" s="113">
        <v>4</v>
      </c>
      <c r="B94" s="508" t="s">
        <v>261</v>
      </c>
      <c r="C94" s="508"/>
      <c r="D94" s="509"/>
      <c r="E94" s="41"/>
    </row>
    <row r="95" spans="1:5" ht="15.75" x14ac:dyDescent="0.25">
      <c r="A95" s="97"/>
      <c r="B95" s="510" t="s">
        <v>127</v>
      </c>
      <c r="C95" s="98" t="s">
        <v>238</v>
      </c>
      <c r="D95" s="99" t="s">
        <v>239</v>
      </c>
      <c r="E95" s="99" t="s">
        <v>239</v>
      </c>
    </row>
    <row r="96" spans="1:5" ht="15.75" x14ac:dyDescent="0.25">
      <c r="A96" s="97"/>
      <c r="B96" s="511"/>
      <c r="C96" s="100" t="s">
        <v>240</v>
      </c>
      <c r="D96" s="101" t="s">
        <v>241</v>
      </c>
      <c r="E96" s="101" t="s">
        <v>241</v>
      </c>
    </row>
    <row r="97" spans="1:5" x14ac:dyDescent="0.2">
      <c r="A97" s="97"/>
      <c r="B97" s="114" t="s">
        <v>262</v>
      </c>
      <c r="C97" s="115" t="s">
        <v>263</v>
      </c>
      <c r="D97" s="33">
        <v>0</v>
      </c>
      <c r="E97" s="33">
        <v>0</v>
      </c>
    </row>
    <row r="98" spans="1:5" x14ac:dyDescent="0.2">
      <c r="A98" s="97"/>
      <c r="B98" s="116" t="s">
        <v>264</v>
      </c>
      <c r="C98" s="117" t="s">
        <v>265</v>
      </c>
      <c r="D98" s="33">
        <v>0</v>
      </c>
      <c r="E98" s="33">
        <v>0</v>
      </c>
    </row>
    <row r="99" spans="1:5" x14ac:dyDescent="0.2">
      <c r="A99" s="97"/>
      <c r="B99" s="118" t="s">
        <v>266</v>
      </c>
      <c r="C99" s="117" t="s">
        <v>267</v>
      </c>
      <c r="D99" s="33">
        <v>0</v>
      </c>
      <c r="E99" s="33">
        <v>0</v>
      </c>
    </row>
    <row r="100" spans="1:5" x14ac:dyDescent="0.2">
      <c r="A100" s="97"/>
      <c r="B100" s="116" t="s">
        <v>268</v>
      </c>
      <c r="C100" s="117" t="s">
        <v>269</v>
      </c>
      <c r="D100" s="33">
        <v>0</v>
      </c>
      <c r="E100" s="33">
        <v>0</v>
      </c>
    </row>
    <row r="101" spans="1:5" x14ac:dyDescent="0.2">
      <c r="A101" s="97"/>
      <c r="B101" s="116" t="s">
        <v>270</v>
      </c>
      <c r="C101" s="117" t="s">
        <v>271</v>
      </c>
      <c r="D101" s="33">
        <v>0</v>
      </c>
      <c r="E101" s="33">
        <v>0</v>
      </c>
    </row>
    <row r="102" spans="1:5" x14ac:dyDescent="0.2">
      <c r="A102" s="97"/>
      <c r="B102" s="119" t="s">
        <v>272</v>
      </c>
      <c r="C102" s="117" t="s">
        <v>273</v>
      </c>
      <c r="D102" s="33">
        <v>0</v>
      </c>
      <c r="E102" s="33">
        <v>0</v>
      </c>
    </row>
    <row r="103" spans="1:5" x14ac:dyDescent="0.2">
      <c r="A103" s="97"/>
      <c r="B103" s="116" t="s">
        <v>274</v>
      </c>
      <c r="C103" s="117" t="s">
        <v>275</v>
      </c>
      <c r="D103" s="33">
        <v>0</v>
      </c>
      <c r="E103" s="33">
        <v>0</v>
      </c>
    </row>
    <row r="104" spans="1:5" x14ac:dyDescent="0.2">
      <c r="A104" s="97"/>
      <c r="B104" s="116" t="s">
        <v>276</v>
      </c>
      <c r="C104" s="117" t="s">
        <v>277</v>
      </c>
      <c r="D104" s="33">
        <v>0</v>
      </c>
      <c r="E104" s="33">
        <v>0</v>
      </c>
    </row>
    <row r="105" spans="1:5" x14ac:dyDescent="0.2">
      <c r="A105" s="97"/>
      <c r="B105" s="116" t="s">
        <v>278</v>
      </c>
      <c r="C105" s="117" t="s">
        <v>279</v>
      </c>
      <c r="D105" s="33">
        <v>0</v>
      </c>
      <c r="E105" s="33">
        <v>0</v>
      </c>
    </row>
    <row r="106" spans="1:5" x14ac:dyDescent="0.2">
      <c r="A106" s="97"/>
      <c r="B106" s="116" t="s">
        <v>280</v>
      </c>
      <c r="C106" s="117" t="s">
        <v>281</v>
      </c>
      <c r="D106" s="33">
        <v>0</v>
      </c>
      <c r="E106" s="33">
        <v>0</v>
      </c>
    </row>
    <row r="107" spans="1:5" x14ac:dyDescent="0.2">
      <c r="A107" s="97"/>
      <c r="B107" s="116" t="s">
        <v>282</v>
      </c>
      <c r="C107" s="117" t="s">
        <v>283</v>
      </c>
      <c r="D107" s="33">
        <v>0</v>
      </c>
      <c r="E107" s="33">
        <v>0</v>
      </c>
    </row>
    <row r="108" spans="1:5" x14ac:dyDescent="0.2">
      <c r="A108" s="97"/>
      <c r="B108" s="116" t="s">
        <v>284</v>
      </c>
      <c r="C108" s="117" t="s">
        <v>285</v>
      </c>
      <c r="D108" s="33">
        <v>0</v>
      </c>
      <c r="E108" s="33">
        <v>0</v>
      </c>
    </row>
    <row r="109" spans="1:5" x14ac:dyDescent="0.2">
      <c r="A109" s="97"/>
      <c r="B109" s="116" t="s">
        <v>286</v>
      </c>
      <c r="C109" s="117" t="s">
        <v>287</v>
      </c>
      <c r="D109" s="33">
        <v>0</v>
      </c>
      <c r="E109" s="33">
        <v>0</v>
      </c>
    </row>
    <row r="110" spans="1:5" x14ac:dyDescent="0.2">
      <c r="A110" s="97"/>
      <c r="B110" s="116" t="s">
        <v>288</v>
      </c>
      <c r="C110" s="117" t="s">
        <v>289</v>
      </c>
      <c r="D110" s="33">
        <v>0</v>
      </c>
      <c r="E110" s="33">
        <v>0</v>
      </c>
    </row>
    <row r="111" spans="1:5" x14ac:dyDescent="0.2">
      <c r="A111" s="97"/>
      <c r="B111" s="116" t="s">
        <v>268</v>
      </c>
      <c r="C111" s="117" t="s">
        <v>290</v>
      </c>
      <c r="D111" s="33">
        <v>0</v>
      </c>
      <c r="E111" s="33">
        <v>0</v>
      </c>
    </row>
    <row r="112" spans="1:5" x14ac:dyDescent="0.2">
      <c r="A112" s="97"/>
      <c r="B112" s="116" t="s">
        <v>291</v>
      </c>
      <c r="C112" s="117" t="s">
        <v>292</v>
      </c>
      <c r="D112" s="33">
        <v>0</v>
      </c>
      <c r="E112" s="33">
        <v>0</v>
      </c>
    </row>
    <row r="113" spans="1:5" x14ac:dyDescent="0.2">
      <c r="A113" s="97"/>
      <c r="B113" s="116" t="s">
        <v>293</v>
      </c>
      <c r="C113" s="117" t="s">
        <v>294</v>
      </c>
      <c r="D113" s="33">
        <v>0</v>
      </c>
      <c r="E113" s="33">
        <v>0</v>
      </c>
    </row>
    <row r="114" spans="1:5" x14ac:dyDescent="0.2">
      <c r="A114" s="97"/>
      <c r="B114" s="116" t="s">
        <v>295</v>
      </c>
      <c r="C114" s="117" t="s">
        <v>296</v>
      </c>
      <c r="D114" s="33">
        <v>0</v>
      </c>
      <c r="E114" s="33">
        <v>0</v>
      </c>
    </row>
    <row r="115" spans="1:5" x14ac:dyDescent="0.2">
      <c r="A115" s="97"/>
      <c r="B115" s="116" t="s">
        <v>297</v>
      </c>
      <c r="C115" s="117" t="s">
        <v>298</v>
      </c>
      <c r="D115" s="33">
        <v>0</v>
      </c>
      <c r="E115" s="33">
        <v>0</v>
      </c>
    </row>
    <row r="116" spans="1:5" x14ac:dyDescent="0.2">
      <c r="A116" s="97"/>
      <c r="B116" s="116" t="s">
        <v>299</v>
      </c>
      <c r="C116" s="117" t="s">
        <v>300</v>
      </c>
      <c r="D116" s="33">
        <v>0</v>
      </c>
      <c r="E116" s="33">
        <v>0</v>
      </c>
    </row>
    <row r="117" spans="1:5" x14ac:dyDescent="0.2">
      <c r="A117" s="97"/>
      <c r="B117" s="116" t="s">
        <v>301</v>
      </c>
      <c r="C117" s="117" t="s">
        <v>302</v>
      </c>
      <c r="D117" s="33">
        <v>0</v>
      </c>
      <c r="E117" s="33">
        <v>0</v>
      </c>
    </row>
    <row r="118" spans="1:5" x14ac:dyDescent="0.2">
      <c r="A118" s="97"/>
      <c r="B118" s="116" t="s">
        <v>303</v>
      </c>
      <c r="C118" s="117" t="s">
        <v>304</v>
      </c>
      <c r="D118" s="33">
        <v>0</v>
      </c>
      <c r="E118" s="33">
        <v>0</v>
      </c>
    </row>
    <row r="119" spans="1:5" x14ac:dyDescent="0.2">
      <c r="A119" s="97"/>
      <c r="B119" s="116" t="s">
        <v>305</v>
      </c>
      <c r="C119" s="117" t="s">
        <v>306</v>
      </c>
      <c r="D119" s="33">
        <v>0</v>
      </c>
      <c r="E119" s="33">
        <v>0</v>
      </c>
    </row>
    <row r="120" spans="1:5" x14ac:dyDescent="0.2">
      <c r="A120" s="97"/>
      <c r="B120" s="116" t="s">
        <v>307</v>
      </c>
      <c r="C120" s="117" t="s">
        <v>308</v>
      </c>
      <c r="D120" s="33">
        <v>0</v>
      </c>
      <c r="E120" s="33">
        <v>0</v>
      </c>
    </row>
    <row r="121" spans="1:5" x14ac:dyDescent="0.2">
      <c r="A121" s="97"/>
      <c r="B121" s="116" t="s">
        <v>309</v>
      </c>
      <c r="C121" s="117" t="s">
        <v>310</v>
      </c>
      <c r="D121" s="33">
        <v>0</v>
      </c>
      <c r="E121" s="33">
        <v>0</v>
      </c>
    </row>
    <row r="122" spans="1:5" x14ac:dyDescent="0.2">
      <c r="A122" s="97"/>
      <c r="B122" s="120" t="s">
        <v>311</v>
      </c>
      <c r="C122" s="121" t="s">
        <v>312</v>
      </c>
      <c r="D122" s="33">
        <v>0</v>
      </c>
      <c r="E122" s="33">
        <v>0</v>
      </c>
    </row>
    <row r="123" spans="1:5" ht="16.5" thickBot="1" x14ac:dyDescent="0.3">
      <c r="A123" s="122"/>
      <c r="B123" s="123" t="s">
        <v>260</v>
      </c>
      <c r="C123" s="124"/>
      <c r="D123" s="125">
        <f>SUM(D97:D122)</f>
        <v>0</v>
      </c>
      <c r="E123" s="125">
        <f>SUM(E97:E122)</f>
        <v>0</v>
      </c>
    </row>
    <row r="124" spans="1:5" ht="16.5" thickBot="1" x14ac:dyDescent="0.3">
      <c r="A124" s="126"/>
      <c r="B124" s="127" t="s">
        <v>313</v>
      </c>
      <c r="C124" s="128"/>
      <c r="D124" s="129">
        <f>D93+D123</f>
        <v>0</v>
      </c>
      <c r="E124" s="129">
        <f>E93+E123</f>
        <v>0</v>
      </c>
    </row>
  </sheetData>
  <mergeCells count="8">
    <mergeCell ref="B94:D94"/>
    <mergeCell ref="B95:B96"/>
    <mergeCell ref="B70:D70"/>
    <mergeCell ref="B76:C76"/>
    <mergeCell ref="B77:C77"/>
    <mergeCell ref="B78:C78"/>
    <mergeCell ref="B80:D80"/>
    <mergeCell ref="B81:B82"/>
  </mergeCells>
  <pageMargins left="0.51181102362204722" right="0.51181102362204722" top="0.78740157480314965" bottom="0.78740157480314965" header="0.31496062992125984" footer="0.31496062992125984"/>
  <pageSetup paperSize="9" scale="77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37</vt:i4>
      </vt:variant>
      <vt:variant>
        <vt:lpstr>Intervalos nomeados</vt:lpstr>
      </vt:variant>
      <vt:variant>
        <vt:i4>9</vt:i4>
      </vt:variant>
    </vt:vector>
  </HeadingPairs>
  <TitlesOfParts>
    <vt:vector size="46" baseType="lpstr">
      <vt:lpstr>Parâmetros</vt:lpstr>
      <vt:lpstr>Balanço</vt:lpstr>
      <vt:lpstr>Demonstração de Resultados</vt:lpstr>
      <vt:lpstr>4 - Imobilização Corpórea</vt:lpstr>
      <vt:lpstr>5 - Imobilizado Incorpóreo</vt:lpstr>
      <vt:lpstr>6 - Invest. Subs. e Associadas</vt:lpstr>
      <vt:lpstr>7 - Outros Activos Financeiros</vt:lpstr>
      <vt:lpstr>8 - Existências</vt:lpstr>
      <vt:lpstr>9 - Out. Act não C. e C. a Rec.</vt:lpstr>
      <vt:lpstr>10 - Disponibilidades</vt:lpstr>
      <vt:lpstr>11 - Outros Activos Correntes</vt:lpstr>
      <vt:lpstr>12 - Capital</vt:lpstr>
      <vt:lpstr>13 - Reservas</vt:lpstr>
      <vt:lpstr>14 - Resultados Transitados</vt:lpstr>
      <vt:lpstr>15 - Emp. Corr. não Corr.</vt:lpstr>
      <vt:lpstr>17 - Provisões para Pensões</vt:lpstr>
      <vt:lpstr>18 - Prov. Out. Riscos e Enc.</vt:lpstr>
      <vt:lpstr>19 -Outros Act. não C. e C. P.</vt:lpstr>
      <vt:lpstr>20 - Empréstimos de Curto Prazo</vt:lpstr>
      <vt:lpstr>21 - Outros Passivos Correntes</vt:lpstr>
      <vt:lpstr>22 - Vendas</vt:lpstr>
      <vt:lpstr>23 - Prestação de Serviço</vt:lpstr>
      <vt:lpstr>24 - Outros Proveitos Op.</vt:lpstr>
      <vt:lpstr>25 - Var. nos Prod. Ac. Vias F.</vt:lpstr>
      <vt:lpstr>26 - Trab. para Própria Emp.</vt:lpstr>
      <vt:lpstr>27 - CEVMP e SC</vt:lpstr>
      <vt:lpstr>28 - Custo com o Pessoal</vt:lpstr>
      <vt:lpstr>29 - Amortizações</vt:lpstr>
      <vt:lpstr>30 - Outros Custos e Perdas Op.</vt:lpstr>
      <vt:lpstr>31 - Resultados Financeiros</vt:lpstr>
      <vt:lpstr>32 - Res. de Filiais Associadas</vt:lpstr>
      <vt:lpstr>33 - Res. não Operacionais</vt:lpstr>
      <vt:lpstr>34 - Resultados Extraordinários</vt:lpstr>
      <vt:lpstr>35 - Imposto Sobre o Rendimento</vt:lpstr>
      <vt:lpstr>36 - Resp. Assumidas e não R.</vt:lpstr>
      <vt:lpstr>Imp Ind. Marvine Lda</vt:lpstr>
      <vt:lpstr>Folha1</vt:lpstr>
      <vt:lpstr>_ANO1</vt:lpstr>
      <vt:lpstr>_ANO2</vt:lpstr>
      <vt:lpstr>Balanço!Area_de_impressao</vt:lpstr>
      <vt:lpstr>'Demonstração de Resultados'!Area_de_impressao</vt:lpstr>
      <vt:lpstr>'Imp Ind. Marvine Lda'!Area_de_impressao</vt:lpstr>
      <vt:lpstr>EMPRESA1</vt:lpstr>
      <vt:lpstr>EMPRESA2</vt:lpstr>
      <vt:lpstr>MF</vt:lpstr>
      <vt:lpstr>MI</vt:lpstr>
    </vt:vector>
  </TitlesOfParts>
  <Company>PRIMAVERA Software,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Dem. Financeiras de Angola</dc:title>
  <dc:subject>Mapas Primavera em Excel</dc:subject>
  <dc:creator>pc</dc:creator>
  <cp:lastModifiedBy>APConsultoria</cp:lastModifiedBy>
  <cp:lastPrinted>2012-05-31T20:53:39Z</cp:lastPrinted>
  <dcterms:created xsi:type="dcterms:W3CDTF">2002-09-11T10:00:30Z</dcterms:created>
  <dcterms:modified xsi:type="dcterms:W3CDTF">2026-07-11T11:43:00Z</dcterms:modified>
</cp:coreProperties>
</file>